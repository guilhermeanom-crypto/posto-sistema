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762bd54a6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1b5c070fa2b14252"/>
    <x:sheet xmlns:r="http://schemas.openxmlformats.org/officeDocument/2006/relationships" name="01_Definicoes" sheetId="2" r:id="R3102a482d4b34ac5"/>
    <x:sheet xmlns:r="http://schemas.openxmlformats.org/officeDocument/2006/relationships" name="02_Metodo" sheetId="3" r:id="R4b113793d10d474d"/>
    <x:sheet xmlns:r="http://schemas.openxmlformats.org/officeDocument/2006/relationships" name="03_Servicos" sheetId="4" r:id="R4d7471ab9b894f19"/>
    <x:sheet xmlns:r="http://schemas.openxmlformats.org/officeDocument/2006/relationships" name="04_Matriz" sheetId="5" r:id="R4a15573aefe94167"/>
    <x:sheet xmlns:r="http://schemas.openxmlformats.org/officeDocument/2006/relationships" name="05_Simulador" sheetId="6" r:id="R04741ced827c4a1a"/>
    <x:sheet xmlns:r="http://schemas.openxmlformats.org/officeDocument/2006/relationships" name="06_Premissas" sheetId="7" r:id="R67b53aefe2954907"/>
    <x:sheet xmlns:r="http://schemas.openxmlformats.org/officeDocument/2006/relationships" name="08_Casos" sheetId="8" r:id="Re040135282e64d93"/>
    <x:sheet xmlns:r="http://schemas.openxmlformats.org/officeDocument/2006/relationships" name="07_Fontes" sheetId="9" r:id="R69ce757065eb46d0"/>
    <x:sheet xmlns:r="http://schemas.openxmlformats.org/officeDocument/2006/relationships" name="Apoio" sheetId="10" r:id="R63b0145cd21141af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6" authorId="0">
      <x:text>
        <x:r>
          <x:t>Selecione o papel real, não apenas o CNAE cadastral.</x:t>
        </x:r>
      </x:text>
    </x:comment>
    <x:comment ref="B7" authorId="0">
      <x:text>
        <x:r>
          <x:t>Use 'Multicadeia' sempre que o cliente tiver mais de um fluxo relevante.</x:t>
        </x:r>
      </x:text>
    </x:comment>
    <x:comment ref="B11" authorId="0">
      <x:text>
        <x:r>
          <x:t>Use 'Auditável / verificador' quando o caso exigir validação robusta e lastro estruturado.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C6" authorId="0">
      <x:text>
        <x:r>
          <x:t>Referência salarial de consultor em 2026: https://www.salario.com.br/profissao/consultor-cbo-241040/ ; referência ampla de valor-hora de consultoria: https://www.robertodiasduarte.com.br/analise-do-valor-hora-em-consultorias-no-brasil-2024-2025-2/ ; ajuste é critério interno de venda.</x:t>
        </x:r>
      </x:text>
    </x:comment>
    <x:comment ref="C7" authorId="0">
      <x:text>
        <x:r>
          <x:t>Referência salarial de engenheiro ambiental em 2026: https://www.salario.com.br/profissao/engenheiro-ambiental-cbo-214005/ ; valores da planilha são de venda consultiva, não salário convertido direto.</x:t>
        </x:r>
      </x:text>
    </x:comment>
    <x:comment ref="C8" authorId="0">
      <x:text>
        <x:r>
          <x:t>Valores-base editáveis. Use junto do método e dos multiplicadores; não representa tabela oficial.</x:t>
        </x:r>
      </x:text>
    </x:comment>
    <x:comment ref="C9" authorId="0">
      <x:text>
        <x:r>
          <x:t>Gestão mensal cobre recorrência padrão; casos críticos podem exigir adicional por comitê, fiscalização ou multiunidade.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R$ #,##0;[Red](R$ #,##0)"/>
    <x:numFmt numFmtId="165" formatCode="0.00x"/>
    <x:numFmt numFmtId="166" formatCode="0.0 &quot;h&quot;"/>
  </x:numFmts>
  <x:fonts count="8">
    <x:font>
      <x:sz val="11"/>
      <x:color theme="1"/>
      <x:name val="Calibri"/>
      <x:family val="2"/>
      <x:scheme val="minor"/>
    </x:font>
    <x:font>
      <x:b/>
      <x:sz val="16"/>
      <x:color rgb="00FFFFFF"/>
      <x:name val="Calibri"/>
    </x:font>
    <x:font>
      <x:sz val="10"/>
      <x:color rgb="00000000"/>
      <x:name val="Calibri"/>
    </x:font>
    <x:font>
      <x:b/>
      <x:sz val="11"/>
      <x:color rgb="00000000"/>
      <x:name val="Calibri"/>
    </x:font>
    <x:font>
      <x:b/>
      <x:sz val="11"/>
      <x:color rgb="00FFFFFF"/>
      <x:name val="Calibri"/>
    </x:font>
    <x:font>
      <x:sz val="10"/>
      <x:color rgb="000000FF"/>
      <x:name val="Calibri"/>
    </x:font>
    <x:font>
      <x:u val="single"/>
      <x:sz val="10"/>
      <x:color rgb="00008000"/>
      <x:name val="Calibri"/>
    </x:font>
    <x:font>
      <x:b/>
      <x:sz val="1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E7E6E6"/>
      </x:patternFill>
    </x:fill>
    <x:fill>
      <x:patternFill patternType="solid">
        <x:fgColor rgb="00E2F0D9"/>
      </x:patternFill>
    </x:fill>
    <x:fill>
      <x:patternFill patternType="solid">
        <x:fgColor rgb="00F4CCCC"/>
      </x:patternFill>
    </x:fill>
    <x:fill>
      <x:patternFill patternType="solid">
        <x:fgColor rgb="00FCE4D6"/>
      </x:patternFill>
    </x:fill>
    <x:fill>
      <x:patternFill patternType="solid">
        <x:fgColor rgb="00FFF2CC"/>
      </x:patternFill>
    </x:fill>
  </x:fills>
  <x:borders count="6">
    <x:border>
      <x:left/>
      <x:right/>
      <x:top/>
      <x:bottom/>
      <x:diagonal/>
    </x:border>
    <x:border>
      <x:top style="medium">
        <x:color rgb="001F4E78"/>
      </x:top>
      <x:bottom style="thin">
        <x:color rgb="00D0D0D0"/>
      </x:bottom>
    </x:border>
    <x:border>
      <x:left style="thin">
        <x:color rgb="00D0D0D0"/>
      </x:left>
      <x:right style="thin">
        <x:color rgb="00D0D0D0"/>
      </x:right>
      <x:top style="thin">
        <x:color rgb="00D0D0D0"/>
      </x:top>
      <x:bottom style="thin">
        <x:color rgb="00D0D0D0"/>
      </x:bottom>
    </x:border>
    <x:border>
      <x:left/>
      <x:right/>
      <x:top style="medium">
        <x:color rgb="001F4E78"/>
      </x:top>
      <x:bottom/>
      <x:diagonal/>
    </x:border>
    <x:border>
      <x:left/>
      <x:right/>
      <x:top style="medium">
        <x:color rgb="001F4E78"/>
      </x:top>
      <x:bottom style="thin">
        <x:color rgb="00D0D0D0"/>
      </x:bottom>
      <x:diagonal/>
    </x:border>
    <x:border>
      <x:right/>
      <x:top style="medium">
        <x:color rgb="001F4E78"/>
      </x:top>
      <x:bottom style="thin">
        <x:color rgb="00D0D0D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2" borderId="0" xfId="0" applyAlignment="1">
      <x:alignment horizontal="left" vertical="center"/>
    </x:xf>
    <x:xf numFmtId="0" fontId="2" fillId="0" borderId="0" xfId="0" applyAlignment="1">
      <x:alignment horizontal="left" vertical="top" wrapText="1"/>
    </x:xf>
    <x:xf numFmtId="0" fontId="3" fillId="3" borderId="1" xfId="0" applyAlignment="1">
      <x:alignment horizontal="left" vertical="center"/>
    </x:xf>
    <x:xf numFmtId="0" fontId="0" fillId="0" borderId="1" xfId="0"/>
    <x:xf numFmtId="0" fontId="4" fillId="2" borderId="2" xfId="0" applyAlignment="1">
      <x:alignment vertical="top" wrapText="1"/>
    </x:xf>
    <x:xf numFmtId="0" fontId="2" fillId="0" borderId="2" xfId="0" applyAlignment="1">
      <x:alignment vertical="top" wrapText="1"/>
    </x:xf>
    <x:xf numFmtId="0" fontId="4" fillId="2" borderId="2" xfId="0" applyAlignment="1">
      <x:alignment horizontal="center" vertical="top" wrapText="1"/>
    </x:xf>
    <x:xf numFmtId="0" fontId="2" fillId="4" borderId="2" xfId="0" applyAlignment="1">
      <x:alignment vertical="top" wrapText="1"/>
    </x:xf>
    <x:xf numFmtId="0" fontId="2" fillId="5" borderId="2" xfId="0" applyAlignment="1">
      <x:alignment vertical="top" wrapText="1"/>
    </x:xf>
    <x:xf numFmtId="0" fontId="2" fillId="6" borderId="2" xfId="0" applyAlignment="1">
      <x:alignment vertical="top" wrapText="1"/>
    </x:xf>
    <x:xf numFmtId="164" fontId="2" fillId="0" borderId="2" xfId="0" applyAlignment="1">
      <x:alignment vertical="top" wrapText="1"/>
    </x:xf>
    <x:xf numFmtId="0" fontId="2" fillId="0" borderId="2" xfId="0" applyAlignment="1">
      <x:alignment horizontal="left" vertical="top" wrapText="1"/>
    </x:xf>
    <x:xf numFmtId="0" fontId="5" fillId="7" borderId="2" xfId="0" applyAlignment="1">
      <x:alignment horizontal="left" vertical="top" wrapText="1"/>
    </x:xf>
    <x:xf numFmtId="0" fontId="4" fillId="2" borderId="2" xfId="0" applyAlignment="1">
      <x:alignment horizontal="center"/>
    </x:xf>
    <x:xf numFmtId="0" fontId="0" fillId="0" borderId="2" xfId="0" applyAlignment="1">
      <x:alignment horizontal="center"/>
    </x:xf>
    <x:xf numFmtId="0" fontId="3" fillId="3" borderId="0" xfId="0" applyAlignment="1">
      <x:alignment horizontal="left" vertical="top" wrapText="1"/>
    </x:xf>
    <x:xf numFmtId="165" fontId="0" fillId="0" borderId="0" xfId="0"/>
    <x:xf numFmtId="164" fontId="4" fillId="2" borderId="2" xfId="0" applyAlignment="1">
      <x:alignment horizontal="center" vertical="top" wrapText="1"/>
    </x:xf>
    <x:xf numFmtId="164" fontId="0" fillId="0" borderId="2" xfId="0"/>
    <x:xf numFmtId="0" fontId="0" fillId="0" borderId="0" xfId="0" applyAlignment="1">
      <x:alignment vertical="top" wrapText="1"/>
    </x:xf>
    <x:xf numFmtId="166" fontId="2" fillId="0" borderId="2" xfId="0" applyAlignment="1">
      <x:alignment vertical="top" wrapText="1"/>
    </x:xf>
    <x:xf numFmtId="164" fontId="5" fillId="7" borderId="2" xfId="0" applyAlignment="1">
      <x:alignment vertical="top" wrapText="1"/>
    </x:xf>
    <x:xf numFmtId="0" fontId="6" fillId="0" borderId="2" xfId="0" applyAlignment="1">
      <x:alignment vertical="top" wrapText="1"/>
    </x:xf>
    <x:xf numFmtId="0" fontId="0" fillId="0" borderId="4" xfId="0"/>
    <x:xf numFmtId="0" fontId="3" fillId="3" borderId="5" xfId="0" applyAlignment="1">
      <x:alignment horizontal="left" vertical="center"/>
    </x:xf>
    <x:xf numFmtId="0" fontId="7" fillId="3" borderId="0" xfId="0" applyAlignment="1">
      <x:alignment vertical="top" wrapText="1"/>
    </x:xf>
    <x:xf numFmtId="0" fontId="0" fillId="0" borderId="0" xfId="0" applyAlignment="1">
      <x:alignment horizontal="center"/>
    </x:xf>
    <x:xf numFmtId="165" fontId="0" fillId="0" borderId="0" xfId="0" applyAlignment="1">
      <x:alignment horizontal="center"/>
    </x:xf>
    <x:xf numFmtId="0" fontId="4" fillId="2" borderId="2" xfId="0" applyAlignment="1">
      <x:alignment horizontal="left" vertical="top" wrapText="1"/>
    </x:xf>
    <x:xf numFmtId="0" fontId="4" fillId="2" borderId="0" xfId="0" applyAlignment="1">
      <x:alignment horizontal="center" vertical="center"/>
    </x:xf>
    <x:xf numFmtId="164" fontId="0" fillId="0" borderId="2" xfId="0" applyAlignment="1">
      <x:alignment horizontal="center" vertical="top" wrapText="1"/>
    </x:xf>
    <x:xf numFmtId="164" fontId="2" fillId="0" borderId="2" xfId="0" applyAlignment="1">
      <x:alignment horizontal="center" vertical="top" wrapText="1"/>
    </x:xf>
    <x:xf numFmtId="0" fontId="3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ee809439b9472b" /><Relationship Type="http://schemas.openxmlformats.org/officeDocument/2006/relationships/theme" Target="/xl/theme/theme1.xml" Id="R92e43b97994e42d9" /><Relationship Type="http://schemas.openxmlformats.org/officeDocument/2006/relationships/sharedStrings" Target="/xl/sharedStrings.xml" Id="Rd50cbc3a325c48ab" /><Relationship Type="http://schemas.openxmlformats.org/officeDocument/2006/relationships/worksheet" Target="/xl/worksheets/sheet1.xml" Id="R1b5c070fa2b14252" /><Relationship Type="http://schemas.openxmlformats.org/officeDocument/2006/relationships/worksheet" Target="/xl/worksheets/sheet2.xml" Id="R3102a482d4b34ac5" /><Relationship Type="http://schemas.openxmlformats.org/officeDocument/2006/relationships/worksheet" Target="/xl/worksheets/sheet3.xml" Id="R4b113793d10d474d" /><Relationship Type="http://schemas.openxmlformats.org/officeDocument/2006/relationships/worksheet" Target="/xl/worksheets/sheet4.xml" Id="R4d7471ab9b894f19" /><Relationship Type="http://schemas.openxmlformats.org/officeDocument/2006/relationships/worksheet" Target="/xl/worksheets/sheet5.xml" Id="R4a15573aefe94167" /><Relationship Type="http://schemas.openxmlformats.org/officeDocument/2006/relationships/worksheet" Target="/xl/worksheets/sheet6.xml" Id="R04741ced827c4a1a" /><Relationship Type="http://schemas.openxmlformats.org/officeDocument/2006/relationships/worksheet" Target="/xl/worksheets/sheet7.xml" Id="R67b53aefe2954907" /><Relationship Type="http://schemas.openxmlformats.org/officeDocument/2006/relationships/worksheet" Target="/xl/worksheets/sheet8.xml" Id="Re040135282e64d93" /><Relationship Type="http://schemas.openxmlformats.org/officeDocument/2006/relationships/worksheet" Target="/xl/worksheets/sheet9.xml" Id="R69ce757065eb46d0" /><Relationship Type="http://schemas.openxmlformats.org/officeDocument/2006/relationships/worksheet" Target="/xl/worksheets/sheet10.xml" Id="R63b0145cd21141af" /><Relationship Type="http://schemas.microsoft.com/office/2017/10/relationships/person" Target="/xl/persons/person.xml" Id="Rf44bacc285364e78" /></Relationships>
</file>

<file path=xl/persons/person.xml><?xml version="1.0" encoding="utf-8"?>
<xltc:personList xmlns:xltc="http://schemas.microsoft.com/office/spreadsheetml/2018/threadedcomments">
  <xltc:person displayName="OpenAI" id="{60B17D24-9A6D-DD7E-7C12-E3409CF17B25}"/>
  <xltc:person displayName="OpenAI" id="{025881AB-C95D-796C-8AC6-31586857AEA2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8794da2cd2274df2" /><Relationship Type="http://schemas.openxmlformats.org/officeDocument/2006/relationships/vmlDrawing" Target="/xl/drawings/vmldrawing.vml" Id="Re31198601aa04d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e8361986f8aa46fc" /><Relationship Type="http://schemas.openxmlformats.org/officeDocument/2006/relationships/vmlDrawing" Target="/xl/drawings/vmldrawing2.vml" Id="Rc79c304262b243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95" customWidth="1"/>
    <x:col min="3" max="3" width="12" customWidth="1"/>
    <x:col min="4" max="4" width="12" customWidth="1"/>
    <x:col min="5" max="5" width="12" customWidth="1"/>
    <x:col min="6" max="6" width="12" customWidth="1"/>
    <x:col min="7" max="7" width="12" customWidth="1"/>
    <x:col min="8" max="8" width="12" customWidth="1"/>
  </x:cols>
  <x:sheetData>
    <x:row r="1">
      <x:c r="A1" s="1" t="inlineStr">
        <x:is>
          <x:t xml:space="preserve">Manual e Matriz de Precificação — Logística Reversa</x:t>
        </x:is>
      </x:c>
    </x:row>
    <x:row r="2"/>
    <x:row r="3">
      <x:c r="A3" s="2" t="inlineStr">
        <x:is>
          <x:t xml:space="preserve">Referência prática para Goiás: manual de método, serviços, simulador e valores-base de venda para consultoria especializada.</x:t>
        </x:is>
      </x:c>
    </x:row>
    <x:row r="5">
      <x:c r="A5" s="25" t="inlineStr">
        <x:is>
          <x:t xml:space="preserve">O que este arquivo resolve</x:t>
        </x:is>
      </x:c>
      <x:c r="B5" s="24" t="n"/>
      <x:c r="C5" s="24" t="n"/>
      <x:c r="D5" s="24" t="n"/>
      <x:c r="E5" s="24" t="n"/>
      <x:c r="F5" s="24" t="n"/>
      <x:c r="G5" s="24" t="n"/>
      <x:c r="H5" s="24" t="n"/>
    </x:row>
    <x:row r="6">
      <x:c r="A6" s="2" t="inlineStr">
        <x:is>
          <x:t xml:space="preserve">• Padroniza a leitura do cenário: tipo de empreendimento, papel real na cadeia, tipo de cadeia de logística reversa e risco de comprovação.</x:t>
        </x:is>
      </x:c>
    </x:row>
    <x:row r="7">
      <x:c r="A7" s="2" t="inlineStr">
        <x:is>
          <x:t xml:space="preserve">• Separa claramente o que é diagnóstico, regularização, estruturação avançada e gestão mensal.</x:t>
        </x:is>
      </x:c>
    </x:row>
    <x:row r="8">
      <x:c r="A8" s="2" t="inlineStr">
        <x:is>
          <x:t xml:space="preserve">• Mostra uma matriz legível por qualquer leitor, sem depender de conhecimento prévio da legislação.</x:t>
        </x:is>
      </x:c>
    </x:row>
    <x:row r="9">
      <x:c r="A9" s="2" t="inlineStr">
        <x:is>
          <x:t xml:space="preserve">• Transforma a precificação em método: score de complexidade + multiplicadores operacionais + preço-base por pacote.</x:t>
        </x:is>
      </x:c>
    </x:row>
    <x:row r="10">
      <x:c r="A10" s="2" t="inlineStr">
        <x:is>
          <x:t xml:space="preserve">• Gera preço de referência, faixa comercial e justificativa objetiva para proposta.</x:t>
        </x:is>
      </x:c>
    </x:row>
    <x:row r="13">
      <x:c r="A13" s="25" t="inlineStr">
        <x:is>
          <x:t xml:space="preserve">Como usar em 5 passos</x:t>
        </x:is>
      </x:c>
      <x:c r="B13" s="24" t="n"/>
      <x:c r="C13" s="24" t="n"/>
      <x:c r="D13" s="24" t="n"/>
      <x:c r="E13" s="24" t="n"/>
      <x:c r="F13" s="24" t="n"/>
      <x:c r="G13" s="24" t="n"/>
      <x:c r="H13" s="24" t="n"/>
    </x:row>
    <x:row r="14">
      <x:c r="A14" s="2" t="inlineStr">
        <x:is>
          <x:t xml:space="preserve">1. Leia 01_Definições para alinhar conceitos.</x:t>
        </x:is>
      </x:c>
    </x:row>
    <x:row r="15">
      <x:c r="A15" s="2" t="inlineStr">
        <x:is>
          <x:t xml:space="preserve">2. Valide o método em 02_Método e o escopo em 03_Serviços.</x:t>
        </x:is>
      </x:c>
    </x:row>
    <x:row r="16">
      <x:c r="A16" s="2" t="inlineStr">
        <x:is>
          <x:t xml:space="preserve">3. Use 04_Matriz para enquadrar o empreendimento em um cenário típico.</x:t>
        </x:is>
      </x:c>
    </x:row>
    <x:row r="17">
      <x:c r="A17" s="2" t="inlineStr">
        <x:is>
          <x:t xml:space="preserve">4. Refine o preço no 05_Simulador com papel, cadeia, maturidade documental, prova, abrangência, urgência e fiscalização.</x:t>
        </x:is>
      </x:c>
    </x:row>
    <x:row r="18">
      <x:c r="A18" s="2" t="inlineStr">
        <x:is>
          <x:t xml:space="preserve">5. Ajuste premissas comerciais no 06_Premissas quando quiser reposicionar os preços.</x:t>
        </x:is>
      </x:c>
    </x:row>
    <x:row r="21">
      <x:c r="A21" s="25" t="inlineStr">
        <x:is>
          <x:t xml:space="preserve">Premissas importantes</x:t>
        </x:is>
      </x:c>
      <x:c r="B21" s="24" t="n"/>
      <x:c r="C21" s="24" t="n"/>
      <x:c r="D21" s="24" t="n"/>
      <x:c r="E21" s="24" t="n"/>
      <x:c r="F21" s="24" t="n"/>
      <x:c r="G21" s="24" t="n"/>
      <x:c r="H21" s="24" t="n"/>
    </x:row>
    <x:row r="22">
      <x:c r="A22" s="2" t="inlineStr">
        <x:is>
          <x:t xml:space="preserve">• Os valores deste arquivo são valores de referência para venda consultiva; não são tabela oficial do poder público nem preço obrigatório de mercado.</x:t>
        </x:is>
      </x:c>
    </x:row>
    <x:row r="23">
      <x:c r="A23" s="2" t="inlineStr">
        <x:is>
          <x:t xml:space="preserve">• As faixas não incluem: compra de créditos, taxa de entidade gestora, taxa de operador, verificador, deslocamentos, custos jurídicos, passivos retroativos e tributos não previstos.</x:t>
        </x:is>
      </x:c>
    </x:row>
    <x:row r="24">
      <x:c r="A24" s="2" t="inlineStr">
        <x:is>
          <x:t xml:space="preserve">• Para cadeias específicas (ex.: pneus, eletroeletrônicos, medicamentos, óleos e embalagens de defensivos), a obrigação pode ter rito próprio e o preço nunca deve ser tratado como 'cadastro simples'.</x:t>
        </x:is>
      </x:c>
    </x:row>
    <x:row r="25">
      <x:c r="A25" s="2" t="inlineStr">
        <x:is>
          <x:t xml:space="preserve">• Em Goiás, embalagens em geral estão no ambiente do Recicla Goiás; cadeias específicas podem exigir checagem adicional do rito federal/estadual aplicável.</x:t>
        </x:is>
      </x:c>
    </x:row>
    <x:row r="28">
      <x:c r="A28" s="25" t="inlineStr">
        <x:is>
          <x:t xml:space="preserve">Base regulatória resumida</x:t>
        </x:is>
      </x:c>
      <x:c r="B28" s="24" t="n"/>
      <x:c r="C28" s="24" t="n"/>
      <x:c r="D28" s="24" t="n"/>
      <x:c r="E28" s="24" t="n"/>
      <x:c r="F28" s="24" t="n"/>
      <x:c r="G28" s="24" t="n"/>
      <x:c r="H28" s="24" t="n"/>
    </x:row>
    <x:row r="29">
      <x:c r="A29" s="2" t="inlineStr">
        <x:is>
          <x:t xml:space="preserve">• A Lei nº 12.305/2010 instituiu a Política Nacional de Resíduos Sólidos; fabricantes, importadores, distribuidores e comerciantes devem adotar medidas necessárias para implementar e operacionalizar sistemas de logística reversa sob sua responsabilidade.</x:t>
        </x:is>
      </x:c>
    </x:row>
    <x:row r="30">
      <x:c r="A30" s="2" t="inlineStr">
        <x:is>
          <x:t xml:space="preserve">• O Decreto federal nº 10.936/2022 regulamenta a PNRS; o Decreto nº 11.413/2023 institui certificados como CCRLR/CERE e reforça a operacionalização da logística reversa.</x:t>
        </x:is>
      </x:c>
    </x:row>
    <x:row r="31">
      <x:c r="A31" s="2" t="inlineStr">
        <x:is>
          <x:t xml:space="preserve">• Em Goiás, o Decreto estadual nº 10.255/2023 regulamenta embalagens em geral e institui o RECICLAGOIÁS.</x:t>
        </x:is>
      </x:c>
    </x:row>
    <x:row r="32">
      <x:c r="A32" s="2" t="inlineStr">
        <x:is>
          <x:t xml:space="preserve">• No segundo ciclo estadual, a meta informada pela Semad para o próximo ano-base foi de pelo menos 30% para vidro, papel/papelão, plástico e metal.</x:t>
        </x:is>
      </x:c>
    </x:row>
    <x:row r="33">
      <x:c r="A33" s="2" t="inlineStr">
        <x:is>
          <x:t xml:space="preserve">• Em 2026, a Campanha de Orientação em Goiás reforçou regularização declaratória, plano de logística reversa, cumprimento de metas e adesão das empresas obrigadas.</x:t>
        </x:is>
      </x:c>
    </x:row>
    <x:row r="36">
      <x:c r="A36" s="25" t="inlineStr">
        <x:is>
          <x:t xml:space="preserve">Leitura rápida do arquivo</x:t>
        </x:is>
      </x:c>
      <x:c r="B36" s="24" t="n"/>
      <x:c r="C36" s="24" t="n"/>
      <x:c r="D36" s="24" t="n"/>
      <x:c r="E36" s="24" t="n"/>
      <x:c r="F36" s="24" t="n"/>
      <x:c r="G36" s="24" t="n"/>
      <x:c r="H36" s="24" t="n"/>
    </x:row>
    <x:row r="37">
      <x:c r="A37" s="5" t="inlineStr">
        <x:is>
          <x:t xml:space="preserve">Aba</x:t>
        </x:is>
      </x:c>
      <x:c r="B37" s="5" t="inlineStr">
        <x:is>
          <x:t xml:space="preserve">Finalidade</x:t>
        </x:is>
      </x:c>
    </x:row>
    <x:row r="38">
      <x:c r="A38" s="6" t="inlineStr">
        <x:is>
          <x:t xml:space="preserve">01_Definições</x:t>
        </x:is>
      </x:c>
      <x:c r="B38" s="6" t="inlineStr">
        <x:is>
          <x:t xml:space="preserve">Conceitos, papéis, tipos de cadeia, tipos de prova e impactos no preço.</x:t>
        </x:is>
      </x:c>
    </x:row>
    <x:row r="39">
      <x:c r="A39" s="6" t="inlineStr">
        <x:is>
          <x:t xml:space="preserve">02_Método</x:t>
        </x:is>
      </x:c>
      <x:c r="B39" s="6" t="inlineStr">
        <x:is>
          <x:t xml:space="preserve">Método decisório para precificação e regras de blindagem contra subprecificação.</x:t>
        </x:is>
      </x:c>
    </x:row>
    <x:row r="40">
      <x:c r="A40" s="6" t="inlineStr">
        <x:is>
          <x:t xml:space="preserve">03_Serviços</x:t>
        </x:is>
      </x:c>
      <x:c r="B40" s="6" t="inlineStr">
        <x:is>
          <x:t xml:space="preserve">O que entra em cada pacote e o que deve ficar fora do escopo.</x:t>
        </x:is>
      </x:c>
    </x:row>
    <x:row r="41">
      <x:c r="A41" s="6" t="inlineStr">
        <x:is>
          <x:t xml:space="preserve">04_Matriz</x:t>
        </x:is>
      </x:c>
      <x:c r="B41" s="6" t="inlineStr">
        <x:is>
          <x:t xml:space="preserve">Tabela principal para qualquer leitor compreender cenário, complexidade e preço.</x:t>
        </x:is>
      </x:c>
    </x:row>
    <x:row r="42">
      <x:c r="A42" s="6" t="inlineStr">
        <x:is>
          <x:t xml:space="preserve">05_Simulador</x:t>
        </x:is>
      </x:c>
      <x:c r="B42" s="6" t="inlineStr">
        <x:is>
          <x:t xml:space="preserve">Ferramenta prática para gerar preço de referência e faixa comercial.</x:t>
        </x:is>
      </x:c>
    </x:row>
    <x:row r="43">
      <x:c r="A43" s="6" t="inlineStr">
        <x:is>
          <x:t xml:space="preserve">06_Premissas</x:t>
        </x:is>
      </x:c>
      <x:c r="B43" s="6" t="inlineStr">
        <x:is>
          <x:t xml:space="preserve">Valores-base, multiplicadores, horas e justificativas.</x:t>
        </x:is>
      </x:c>
    </x:row>
    <x:row r="44">
      <x:c r="A44" s="6" t="inlineStr">
        <x:is>
          <x:t xml:space="preserve">07_Fontes</x:t>
        </x:is>
      </x:c>
      <x:c r="B44" s="6" t="inlineStr">
        <x:is>
          <x:t xml:space="preserve">Fontes regulatórias e de mercado usadas como referência.</x:t>
        </x:is>
      </x:c>
    </x:row>
  </x:sheetData>
  <x:mergeCells>
    <x:mergeCell ref="A9:H9"/>
    <x:mergeCell ref="A30:H30"/>
    <x:mergeCell ref="A15:H15"/>
    <x:mergeCell ref="A24:H24"/>
    <x:mergeCell ref="A36:H36"/>
    <x:mergeCell ref="A6:H6"/>
    <x:mergeCell ref="A7:H7"/>
    <x:mergeCell ref="A25:H25"/>
    <x:mergeCell ref="A16:H16"/>
    <x:mergeCell ref="A18:H18"/>
    <x:mergeCell ref="A3:H3"/>
    <x:mergeCell ref="A21:H21"/>
    <x:mergeCell ref="A33:H33"/>
    <x:mergeCell ref="A14:H14"/>
    <x:mergeCell ref="A5:H5"/>
    <x:mergeCell ref="A23:H23"/>
    <x:mergeCell ref="A32:H32"/>
    <x:mergeCell ref="A1:H2"/>
    <x:mergeCell ref="A8:H8"/>
    <x:mergeCell ref="A22:H22"/>
    <x:mergeCell ref="A17:H17"/>
    <x:mergeCell ref="A29:H29"/>
    <x:mergeCell ref="A10:H10"/>
    <x:mergeCell ref="A28:H28"/>
    <x:mergeCell ref="A13:H13"/>
    <x:mergeCell ref="A31:H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8" customWidth="1"/>
    <x:col min="3" max="3" width="25" customWidth="1"/>
    <x:col min="4" max="4" width="28" customWidth="1"/>
    <x:col min="5" max="5" width="22" customWidth="1"/>
    <x:col min="6" max="6" width="26" customWidth="1"/>
    <x:col min="7" max="7" width="24" customWidth="1"/>
    <x:col min="8" max="8" width="16" customWidth="1"/>
    <x:col min="9" max="9" width="16" customWidth="1"/>
  </x:cols>
  <x:sheetData>
    <x:row r="1">
      <x:c r="A1" s="1" t="inlineStr">
        <x:is>
          <x:t xml:space="preserve">Definições claras — para qualquer leitor entender</x:t>
        </x:is>
      </x:c>
    </x:row>
    <x:row r="2"/>
    <x:row r="4">
      <x:c r="A4" s="25" t="inlineStr">
        <x:is>
          <x:t xml:space="preserve">Termos essenciais</x:t>
        </x:is>
      </x:c>
      <x:c r="B4" s="24" t="n"/>
      <x:c r="C4" s="24" t="n"/>
      <x:c r="D4" s="24" t="n"/>
      <x:c r="E4" s="24" t="n"/>
      <x:c r="F4" s="24" t="n"/>
      <x:c r="G4" s="24" t="n"/>
      <x:c r="H4" s="24" t="n"/>
      <x:c r="I4" s="24" t="n"/>
    </x:row>
    <x:row r="5">
      <x:c r="A5" s="7" t="inlineStr">
        <x:is>
          <x:t xml:space="preserve">Papel</x:t>
        </x:is>
      </x:c>
      <x:c r="B5" s="7" t="inlineStr">
        <x:is>
          <x:t xml:space="preserve">Como reconhecer</x:t>
        </x:is>
      </x:c>
      <x:c r="C5" s="7" t="inlineStr">
        <x:is>
          <x:t xml:space="preserve">Peso no preço</x:t>
        </x:is>
      </x:c>
      <x:c r="D5" s="7" t="inlineStr">
        <x:is>
          <x:t xml:space="preserve">Leitura comercial</x:t>
        </x:is>
      </x:c>
      <x:c r="F5" s="5" t="inlineStr">
        <x:is>
          <x:t xml:space="preserve">Papel</x:t>
        </x:is>
      </x:c>
      <x:c r="G5" s="5" t="inlineStr">
        <x:is>
          <x:t xml:space="preserve">Como reconhecer</x:t>
        </x:is>
      </x:c>
      <x:c r="H5" s="5" t="inlineStr">
        <x:is>
          <x:t xml:space="preserve">Peso no preço</x:t>
        </x:is>
      </x:c>
      <x:c r="I5" s="5" t="inlineStr">
        <x:is>
          <x:t xml:space="preserve">Leitura comercial</x:t>
        </x:is>
      </x:c>
    </x:row>
    <x:row r="6">
      <x:c r="A6" s="6" t="inlineStr">
        <x:is>
          <x:t xml:space="preserve">Papel na cadeia</x:t>
        </x:is>
      </x:c>
      <x:c r="B6" s="6" t="inlineStr">
        <x:is>
          <x:t xml:space="preserve">Posição real da empresa: comerciante, distribuidor, importador, fabricante ou combinação.</x:t>
        </x:is>
      </x:c>
      <x:c r="C6" s="6" t="inlineStr">
        <x:is>
          <x:t xml:space="preserve">Supermercado com marca própria deixa de ser só comerciante.</x:t>
        </x:is>
      </x:c>
      <x:c r="D6" s="6" t="inlineStr">
        <x:is>
          <x:t xml:space="preserve">É o fator com maior peso no preço.</x:t>
        </x:is>
      </x:c>
      <x:c r="F6" s="6" t="inlineStr">
        <x:is>
          <x:t xml:space="preserve">Comerciante</x:t>
        </x:is>
      </x:c>
      <x:c r="G6" s="6" t="inlineStr">
        <x:is>
          <x:t xml:space="preserve">Revende sem importar/fabricar.</x:t>
        </x:is>
      </x:c>
      <x:c r="H6" s="6" t="inlineStr">
        <x:is>
          <x:t xml:space="preserve">Baixo a médio</x:t>
        </x:is>
      </x:c>
      <x:c r="I6" s="6" t="inlineStr">
        <x:is>
          <x:t xml:space="preserve">Pode começar em pacote enxuto, salvo multicadeia.</x:t>
        </x:is>
      </x:c>
    </x:row>
    <x:row r="7">
      <x:c r="A7" s="6" t="inlineStr">
        <x:is>
          <x:t xml:space="preserve">Cadeia predominante</x:t>
        </x:is>
      </x:c>
      <x:c r="B7" s="6" t="inlineStr">
        <x:is>
          <x:t xml:space="preserve">Tipo de obrigação principal: embalagens em geral, cadeia específica do art. 33 ou multicadeia.</x:t>
        </x:is>
      </x:c>
      <x:c r="C7" s="6" t="inlineStr">
        <x:is>
          <x:t xml:space="preserve">Posto com conveniência e lubrificantes = multicadeia.</x:t>
        </x:is>
      </x:c>
      <x:c r="D7" s="6" t="inlineStr">
        <x:is>
          <x:t xml:space="preserve">Muda prova, risco e escopo.</x:t>
        </x:is>
      </x:c>
      <x:c r="F7" s="6" t="inlineStr">
        <x:is>
          <x:t xml:space="preserve">Distribuidor</x:t>
        </x:is>
      </x:c>
      <x:c r="G7" s="6" t="inlineStr">
        <x:is>
          <x:t xml:space="preserve">Intermedia volumes e múltiplos fornecedores.</x:t>
        </x:is>
      </x:c>
      <x:c r="H7" s="6" t="inlineStr">
        <x:is>
          <x:t xml:space="preserve">Médio</x:t>
        </x:is>
      </x:c>
      <x:c r="I7" s="6" t="inlineStr">
        <x:is>
          <x:t xml:space="preserve">Geralmente exige mais validação documental.</x:t>
        </x:is>
      </x:c>
    </x:row>
    <x:row r="8">
      <x:c r="A8" s="6" t="inlineStr">
        <x:is>
          <x:t xml:space="preserve">Maturidade documental</x:t>
        </x:is>
      </x:c>
      <x:c r="B8" s="6" t="inlineStr">
        <x:is>
          <x:t xml:space="preserve">Qualidade do acervo do cliente: notas, volumes, contratos, relatórios, responsáveis.</x:t>
        </x:is>
      </x:c>
      <x:c r="C8" s="6" t="inlineStr">
        <x:is>
          <x:t xml:space="preserve">Cliente que não separa notas e volumes gera retrabalho.</x:t>
        </x:is>
      </x:c>
      <x:c r="D8" s="6" t="inlineStr">
        <x:is>
          <x:t xml:space="preserve">Cliente desorganizado consome mais horas.</x:t>
        </x:is>
      </x:c>
      <x:c r="F8" s="6" t="inlineStr">
        <x:is>
          <x:t xml:space="preserve">Importador</x:t>
        </x:is>
      </x:c>
      <x:c r="G8" s="6" t="inlineStr">
        <x:is>
          <x:t xml:space="preserve">Coloca produto/embalagem importada no mercado.</x:t>
        </x:is>
      </x:c>
      <x:c r="H8" s="6" t="inlineStr">
        <x:is>
          <x:t xml:space="preserve">Alto</x:t>
        </x:is>
      </x:c>
      <x:c r="I8" s="6" t="inlineStr">
        <x:is>
          <x:t xml:space="preserve">Risco regulatório maior; evite preço de varejo simples.</x:t>
        </x:is>
      </x:c>
    </x:row>
    <x:row r="9">
      <x:c r="A9" s="6" t="inlineStr">
        <x:is>
          <x:t xml:space="preserve">Tipo de prova</x:t>
        </x:is>
      </x:c>
      <x:c r="B9" s="6" t="inlineStr">
        <x:is>
          <x:t xml:space="preserve">Nível de comprovação exigido: simples, documental, rastreável ou auditável/verificador.</x:t>
        </x:is>
      </x:c>
      <x:c r="C9" s="6" t="inlineStr">
        <x:is>
          <x:t xml:space="preserve">Indústria e cadeias específicas tendem a pedir prova mais robusta.</x:t>
        </x:is>
      </x:c>
      <x:c r="D9" s="6" t="inlineStr">
        <x:is>
          <x:t xml:space="preserve">Quanto mais auditável, maior o preço.</x:t>
        </x:is>
      </x:c>
      <x:c r="F9" s="6" t="inlineStr">
        <x:is>
          <x:t xml:space="preserve">Fabricante / marca própria</x:t>
        </x:is>
      </x:c>
      <x:c r="G9" s="6" t="inlineStr">
        <x:is>
          <x:t xml:space="preserve">Produz ou responde pela colocação do produto/embalagem no mercado.</x:t>
        </x:is>
      </x:c>
      <x:c r="H9" s="6" t="inlineStr">
        <x:is>
          <x:t xml:space="preserve">Crítico</x:t>
        </x:is>
      </x:c>
      <x:c r="I9" s="6" t="inlineStr">
        <x:is>
          <x:t xml:space="preserve">Base para pacotes mais robustos.</x:t>
        </x:is>
      </x:c>
    </x:row>
    <x:row r="10">
      <x:c r="A10" s="6" t="inlineStr">
        <x:is>
          <x:t xml:space="preserve">Abrangência</x:t>
        </x:is>
      </x:c>
      <x:c r="B10" s="6" t="inlineStr">
        <x:is>
          <x:t xml:space="preserve">Quantidade de unidades/CNPJs, volume de operação e dispersão do cliente.</x:t>
        </x:is>
      </x:c>
      <x:c r="C10" s="6" t="inlineStr">
        <x:is>
          <x:t xml:space="preserve">Rede varejista com 8 lojas.</x:t>
        </x:is>
      </x:c>
      <x:c r="D10" s="6" t="inlineStr">
        <x:is>
          <x:t xml:space="preserve">Aumenta padronização, coleta de dados e governança.</x:t>
        </x:is>
      </x:c>
      <x:c r="F10" s="6" t="inlineStr">
        <x:is>
          <x:t xml:space="preserve">Misto</x:t>
        </x:is>
      </x:c>
      <x:c r="G10" s="6" t="inlineStr">
        <x:is>
          <x:t xml:space="preserve">Acumula dois ou mais papéis.</x:t>
        </x:is>
      </x:c>
      <x:c r="H10" s="6" t="inlineStr">
        <x:is>
          <x:t xml:space="preserve">Crítico</x:t>
        </x:is>
      </x:c>
      <x:c r="I10" s="6" t="inlineStr">
        <x:is>
          <x:t xml:space="preserve">Nunca tratar como caso padrão.</x:t>
        </x:is>
      </x:c>
    </x:row>
    <x:row r="11">
      <x:c r="A11" s="6" t="inlineStr">
        <x:is>
          <x:t xml:space="preserve">Urgência</x:t>
        </x:is>
      </x:c>
      <x:c r="B11" s="6" t="inlineStr">
        <x:is>
          <x:t xml:space="preserve">Prazo real para entrega e regularização.</x:t>
        </x:is>
      </x:c>
      <x:c r="C11" s="6" t="inlineStr">
        <x:is>
          <x:t xml:space="preserve">Notificado com 7 dias para responder.</x:t>
        </x:is>
      </x:c>
      <x:c r="D11" s="6" t="inlineStr">
        <x:is>
          <x:t xml:space="preserve">Justifica adicional comercial.</x:t>
        </x:is>
      </x:c>
    </x:row>
    <x:row r="12">
      <x:c r="A12" s="6" t="inlineStr">
        <x:is>
          <x:t xml:space="preserve">Fiscalização ativa</x:t>
        </x:is>
      </x:c>
      <x:c r="B12" s="6" t="inlineStr">
        <x:is>
          <x:t xml:space="preserve">Existência de notificação, orientação formal, pendência ou risco iminente.</x:t>
        </x:is>
      </x:c>
      <x:c r="C12" s="6" t="inlineStr">
        <x:is>
          <x:t xml:space="preserve">Campanha orientativa, diligência ou saneamento de pendências.</x:t>
        </x:is>
      </x:c>
      <x:c r="D12" s="6" t="inlineStr">
        <x:is>
          <x:t xml:space="preserve">Eleva responsabilidade e revisão do material.</x:t>
        </x:is>
      </x:c>
    </x:row>
    <x:row r="15">
      <x:c r="A15" s="25" t="inlineStr">
        <x:is>
          <x:t xml:space="preserve">Tipos de cadeia e tipos de prova</x:t>
        </x:is>
      </x:c>
      <x:c r="B15" s="24" t="n"/>
      <x:c r="C15" s="24" t="n"/>
      <x:c r="D15" s="24" t="n"/>
      <x:c r="E15" s="24" t="n"/>
      <x:c r="F15" s="24" t="n"/>
      <x:c r="G15" s="24" t="n"/>
      <x:c r="H15" s="24" t="n"/>
      <x:c r="I15" s="24" t="n"/>
    </x:row>
    <x:row r="16">
      <x:c r="A16" s="5" t="inlineStr">
        <x:is>
          <x:t xml:space="preserve">Tipo de cadeia</x:t>
        </x:is>
      </x:c>
      <x:c r="B16" s="5" t="inlineStr">
        <x:is>
          <x:t xml:space="preserve">O que significa</x:t>
        </x:is>
      </x:c>
      <x:c r="C16" s="5" t="inlineStr">
        <x:is>
          <x:t xml:space="preserve">Exemplos</x:t>
        </x:is>
      </x:c>
      <x:c r="D16" s="5" t="inlineStr">
        <x:is>
          <x:t xml:space="preserve">Atenção prática</x:t>
        </x:is>
      </x:c>
      <x:c r="E16" s="5" t="inlineStr">
        <x:is>
          <x:t xml:space="preserve">Tipo de prova</x:t>
        </x:is>
      </x:c>
      <x:c r="F16" s="5" t="inlineStr">
        <x:is>
          <x:t xml:space="preserve">O que normalmente pede</x:t>
        </x:is>
      </x:c>
      <x:c r="G16" s="5" t="inlineStr">
        <x:is>
          <x:t xml:space="preserve">Quando aparece</x:t>
        </x:is>
      </x:c>
      <x:c r="H16" s="5" t="inlineStr">
        <x:is>
          <x:t xml:space="preserve">Impacto</x:t>
        </x:is>
      </x:c>
    </x:row>
    <x:row r="17">
      <x:c r="A17" s="6" t="inlineStr">
        <x:is>
          <x:t xml:space="preserve">Embalagens em geral</x:t>
        </x:is>
      </x:c>
      <x:c r="B17" s="6" t="inlineStr">
        <x:is>
          <x:t xml:space="preserve">Fluxo ligado a embalagens recicláveis comuns.</x:t>
        </x:is>
      </x:c>
      <x:c r="C17" s="6" t="inlineStr">
        <x:is>
          <x:t xml:space="preserve">Vidro, papel/papelão, plástico, metal.</x:t>
        </x:is>
      </x:c>
      <x:c r="D17" s="6" t="inlineStr">
        <x:is>
          <x:t xml:space="preserve">Em Goiás entra na lógica do Recicla Goiás.</x:t>
        </x:is>
      </x:c>
      <x:c r="E17" s="6" t="inlineStr">
        <x:is>
          <x:t xml:space="preserve">Declaratória simples</x:t>
        </x:is>
      </x:c>
      <x:c r="F17" s="6" t="inlineStr">
        <x:is>
          <x:t xml:space="preserve">Cadastro + informações mínimas.</x:t>
        </x:is>
      </x:c>
      <x:c r="G17" s="6" t="inlineStr">
        <x:is>
          <x:t xml:space="preserve">Comércio local simples bem organizado.</x:t>
        </x:is>
      </x:c>
      <x:c r="H17" s="6" t="inlineStr">
        <x:is>
          <x:t xml:space="preserve">Menor preço.</x:t>
        </x:is>
      </x:c>
    </x:row>
    <x:row r="18">
      <x:c r="A18" s="6" t="inlineStr">
        <x:is>
          <x:t xml:space="preserve">Cadeia específica art. 33</x:t>
        </x:is>
      </x:c>
      <x:c r="B18" s="6" t="inlineStr">
        <x:is>
          <x:t xml:space="preserve">Setores com rito próprio ou mais dirigido.</x:t>
        </x:is>
      </x:c>
      <x:c r="C18" s="6" t="inlineStr">
        <x:is>
          <x:t xml:space="preserve">Pneus, eletroeletrônicos, medicamentos, óleos, embalagens de defensivos.</x:t>
        </x:is>
      </x:c>
      <x:c r="D18" s="6" t="inlineStr">
        <x:is>
          <x:t xml:space="preserve">Não precificar como 'cadastro simples'.</x:t>
        </x:is>
      </x:c>
      <x:c r="E18" s="6" t="inlineStr">
        <x:is>
          <x:t xml:space="preserve">Documental consolidada</x:t>
        </x:is>
      </x:c>
      <x:c r="F18" s="6" t="inlineStr">
        <x:is>
          <x:t xml:space="preserve">Plano, dados, comprovação consolidada.</x:t>
        </x:is>
      </x:c>
      <x:c r="G18" s="6" t="inlineStr">
        <x:is>
          <x:t xml:space="preserve">Distribuição e operações com maior volume.</x:t>
        </x:is>
      </x:c>
      <x:c r="H18" s="6" t="inlineStr">
        <x:is>
          <x:t xml:space="preserve">Preço intermediário.</x:t>
        </x:is>
      </x:c>
    </x:row>
    <x:row r="19">
      <x:c r="A19" s="6" t="inlineStr">
        <x:is>
          <x:t xml:space="preserve">Multicadeia</x:t>
        </x:is>
      </x:c>
      <x:c r="B19" s="6" t="inlineStr">
        <x:is>
          <x:t xml:space="preserve">Cliente com mais de uma frente de obrigação.</x:t>
        </x:is>
      </x:c>
      <x:c r="C19" s="6" t="inlineStr">
        <x:is>
          <x:t xml:space="preserve">Posto + conveniência + lubrificantes; rede varejista com vários fluxos.</x:t>
        </x:is>
      </x:c>
      <x:c r="D19" s="6" t="inlineStr">
        <x:is>
          <x:t xml:space="preserve">Exige separar regras e evidências.</x:t>
        </x:is>
      </x:c>
      <x:c r="E19" s="6" t="inlineStr">
        <x:is>
          <x:t xml:space="preserve">Rastreabilidade</x:t>
        </x:is>
      </x:c>
      <x:c r="F19" s="6" t="inlineStr">
        <x:is>
          <x:t xml:space="preserve">Análise de notas, volumes e coerência de cadeia.</x:t>
        </x:is>
      </x:c>
      <x:c r="G19" s="6" t="inlineStr">
        <x:is>
          <x:t xml:space="preserve">Indústria, distribuidores, multicadeia.</x:t>
        </x:is>
      </x:c>
      <x:c r="H19" s="6" t="inlineStr">
        <x:is>
          <x:t xml:space="preserve">Preço alto.</x:t>
        </x:is>
      </x:c>
    </x:row>
    <x:row r="20">
      <x:c r="A20" s="6" t="inlineStr">
        <x:is>
          <x:t xml:space="preserve">—</x:t>
        </x:is>
      </x:c>
      <x:c r="B20" s="6" t="inlineStr">
        <x:is>
          <x:t xml:space="preserve">—</x:t>
        </x:is>
      </x:c>
      <x:c r="C20" s="6" t="inlineStr">
        <x:is>
          <x:t xml:space="preserve">—</x:t>
        </x:is>
      </x:c>
      <x:c r="D20" s="6" t="inlineStr">
        <x:is>
          <x:t xml:space="preserve">—</x:t>
        </x:is>
      </x:c>
      <x:c r="E20" s="6" t="inlineStr">
        <x:is>
          <x:t xml:space="preserve">Auditável / verificador</x:t>
        </x:is>
      </x:c>
      <x:c r="F20" s="6" t="inlineStr">
        <x:is>
          <x:t xml:space="preserve">Material preparado para validação mais robusta.</x:t>
        </x:is>
      </x:c>
      <x:c r="G20" s="6" t="inlineStr">
        <x:is>
          <x:t xml:space="preserve">Casos críticos, sistemas robustos ou exigência contratual.</x:t>
        </x:is>
      </x:c>
      <x:c r="H20" s="6" t="inlineStr">
        <x:is>
          <x:t xml:space="preserve">Preço crítico.</x:t>
        </x:is>
      </x:c>
    </x:row>
  </x:sheetData>
  <x:mergeCells>
    <x:mergeCell ref="A15:I15"/>
    <x:mergeCell ref="A1:I2"/>
    <x:mergeCell ref="A4:I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33" customWidth="1"/>
    <x:col min="3" max="3" width="26" customWidth="1"/>
    <x:col min="4" max="4" width="32" customWidth="1"/>
    <x:col min="5" max="5" width="14" customWidth="1"/>
    <x:col min="6" max="6" width="14" customWidth="1"/>
    <x:col min="7" max="7" width="14" customWidth="1"/>
    <x:col min="8" max="8" width="14" customWidth="1"/>
  </x:cols>
  <x:sheetData>
    <x:row r="1">
      <x:c r="A1" s="1" t="inlineStr">
        <x:is>
          <x:t xml:space="preserve">Método de precificação — simples de ler, difícil de subprecificar</x:t>
        </x:is>
      </x:c>
    </x:row>
    <x:row r="2"/>
    <x:row r="4">
      <x:c r="A4" s="25" t="inlineStr">
        <x:is>
          <x:t xml:space="preserve">Método em 7 passos</x:t>
        </x:is>
      </x:c>
      <x:c r="B4" s="24" t="n"/>
      <x:c r="C4" s="24" t="n"/>
      <x:c r="D4" s="24" t="n"/>
      <x:c r="E4" s="24" t="n"/>
      <x:c r="F4" s="24" t="n"/>
      <x:c r="G4" s="24" t="n"/>
      <x:c r="H4" s="24" t="n"/>
    </x:row>
    <x:row r="5">
      <x:c r="A5" s="5" t="inlineStr">
        <x:is>
          <x:t xml:space="preserve">Passo</x:t>
        </x:is>
      </x:c>
      <x:c r="B5" s="5" t="inlineStr">
        <x:is>
          <x:t xml:space="preserve">O que fazer</x:t>
        </x:is>
      </x:c>
      <x:c r="C5" s="5" t="inlineStr">
        <x:is>
          <x:t xml:space="preserve">Pergunta-chave</x:t>
        </x:is>
      </x:c>
      <x:c r="D5" s="5" t="inlineStr">
        <x:is>
          <x:t xml:space="preserve">Por que isso afeta o preço</x:t>
        </x:is>
      </x:c>
    </x:row>
    <x:row r="6">
      <x:c r="A6" s="6" t="inlineStr">
        <x:is>
          <x:t xml:space="preserve">1. Identificar o papel real</x:t>
        </x:is>
      </x:c>
      <x:c r="B6" s="6" t="inlineStr">
        <x:is>
          <x:t xml:space="preserve">Mapear se a empresa atua como comerciante, distribuidor, importador, fabricante ou mais de um papel.</x:t>
        </x:is>
      </x:c>
      <x:c r="C6" s="6" t="inlineStr">
        <x:is>
          <x:t xml:space="preserve">Quem realmente coloca o produto/embalagem no mercado?</x:t>
        </x:is>
      </x:c>
      <x:c r="D6" s="6" t="inlineStr">
        <x:is>
          <x:t xml:space="preserve">Define a obrigação principal e o peso regulatório.</x:t>
        </x:is>
      </x:c>
    </x:row>
    <x:row r="7">
      <x:c r="A7" s="6" t="inlineStr">
        <x:is>
          <x:t xml:space="preserve">2. Identificar a cadeia</x:t>
        </x:is>
      </x:c>
      <x:c r="B7" s="6" t="inlineStr">
        <x:is>
          <x:t xml:space="preserve">Separar embalagens em geral, cadeia específica ou multicadeia.</x:t>
        </x:is>
      </x:c>
      <x:c r="C7" s="6" t="inlineStr">
        <x:is>
          <x:t xml:space="preserve">Há apenas embalagens comuns ou existem fluxos próprios?</x:t>
        </x:is>
      </x:c>
      <x:c r="D7" s="6" t="inlineStr">
        <x:is>
          <x:t xml:space="preserve">Evita vender 'cadastro' para caso que exige estruturação.</x:t>
        </x:is>
      </x:c>
    </x:row>
    <x:row r="8">
      <x:c r="A8" s="6" t="inlineStr">
        <x:is>
          <x:t xml:space="preserve">3. Medir maturidade documental</x:t>
        </x:is>
      </x:c>
      <x:c r="B8" s="6" t="inlineStr">
        <x:is>
          <x:t xml:space="preserve">Avaliar notas, relatórios, contratos, responsáveis e histórico.</x:t>
        </x:is>
      </x:c>
      <x:c r="C8" s="6" t="inlineStr">
        <x:is>
          <x:t xml:space="preserve">O cliente consegue provar o que diz?</x:t>
        </x:is>
      </x:c>
      <x:c r="D8" s="6" t="inlineStr">
        <x:is>
          <x:t xml:space="preserve">Determina retrabalho, coleta e revisão.</x:t>
        </x:is>
      </x:c>
    </x:row>
    <x:row r="9">
      <x:c r="A9" s="6" t="inlineStr">
        <x:is>
          <x:t xml:space="preserve">4. Medir tipo de prova</x:t>
        </x:is>
      </x:c>
      <x:c r="B9" s="6" t="inlineStr">
        <x:is>
          <x:t xml:space="preserve">Classificar a necessidade de prova simples, documental, rastreável ou auditável.</x:t>
        </x:is>
      </x:c>
      <x:c r="C9" s="6" t="inlineStr">
        <x:is>
          <x:t xml:space="preserve">A comprovação será só declaratória ou precisará de lastro robusto?</x:t>
        </x:is>
      </x:c>
      <x:c r="D9" s="6" t="inlineStr">
        <x:is>
          <x:t xml:space="preserve">Quanto mais robusta, maior a responsabilidade técnica.</x:t>
        </x:is>
      </x:c>
    </x:row>
    <x:row r="10">
      <x:c r="A10" s="6" t="inlineStr">
        <x:is>
          <x:t xml:space="preserve">5. Medir abrangência</x:t>
        </x:is>
      </x:c>
      <x:c r="B10" s="6" t="inlineStr">
        <x:is>
          <x:t xml:space="preserve">Contar unidades/CNPJs e dispersão da operação.</x:t>
        </x:is>
      </x:c>
      <x:c r="C10" s="6" t="inlineStr">
        <x:is>
          <x:t xml:space="preserve">É uma loja ou uma rede multiunidade?</x:t>
        </x:is>
      </x:c>
      <x:c r="D10" s="6" t="inlineStr">
        <x:is>
          <x:t xml:space="preserve">Aumenta governança, padrão e consolidação.</x:t>
        </x:is>
      </x:c>
    </x:row>
    <x:row r="11">
      <x:c r="A11" s="6" t="inlineStr">
        <x:is>
          <x:t xml:space="preserve">6. Medir pressão de prazo</x:t>
        </x:is>
      </x:c>
      <x:c r="B11" s="6" t="inlineStr">
        <x:is>
          <x:t xml:space="preserve">Apurar urgência e fiscalização ativa.</x:t>
        </x:is>
      </x:c>
      <x:c r="C11" s="6" t="inlineStr">
        <x:is>
          <x:t xml:space="preserve">Há notificação, campanha, diligência ou prazo curto?</x:t>
        </x:is>
      </x:c>
      <x:c r="D11" s="6" t="inlineStr">
        <x:is>
          <x:t xml:space="preserve">Justifica adicional e revisão de risco.</x:t>
        </x:is>
      </x:c>
    </x:row>
    <x:row r="12">
      <x:c r="A12" s="6" t="inlineStr">
        <x:is>
          <x:t xml:space="preserve">7. Aplicar pacote correto</x:t>
        </x:is>
      </x:c>
      <x:c r="B12" s="6" t="inlineStr">
        <x:is>
          <x:t xml:space="preserve">Escolher diagnóstico, regularização, avançado ou gestão mensal.</x:t>
        </x:is>
      </x:c>
      <x:c r="C12" s="6" t="inlineStr">
        <x:is>
          <x:t xml:space="preserve">O cliente quer entender, regularizar ou ser acompanhado?</x:t>
        </x:is>
      </x:c>
      <x:c r="D12" s="6" t="inlineStr">
        <x:is>
          <x:t xml:space="preserve">O pacote certo protege margem e expectativa.</x:t>
        </x:is>
      </x:c>
    </x:row>
    <x:row r="15">
      <x:c r="A15" s="25" t="inlineStr">
        <x:is>
          <x:t xml:space="preserve">Regra de ouro para não subprecificar</x:t>
        </x:is>
      </x:c>
      <x:c r="B15" s="24" t="n"/>
      <x:c r="C15" s="24" t="n"/>
      <x:c r="D15" s="24" t="n"/>
      <x:c r="E15" s="24" t="n"/>
      <x:c r="F15" s="24" t="n"/>
      <x:c r="G15" s="24" t="n"/>
      <x:c r="H15" s="24" t="n"/>
    </x:row>
    <x:row r="16">
      <x:c r="A16" s="2" t="inlineStr">
        <x:is>
          <x:t xml:space="preserve">• Não use o CNAE sozinho como preço.</x:t>
        </x:is>
      </x:c>
    </x:row>
    <x:row r="17">
      <x:c r="A17" s="2" t="inlineStr">
        <x:is>
          <x:t xml:space="preserve">• Não presuma que toda obrigação é 'embalagens em geral'.</x:t>
        </x:is>
      </x:c>
    </x:row>
    <x:row r="18">
      <x:c r="A18" s="2" t="inlineStr">
        <x:is>
          <x:t xml:space="preserve">• Não trate multicadeia como um único módulo.</x:t>
        </x:is>
      </x:c>
    </x:row>
    <x:row r="19">
      <x:c r="A19" s="2" t="inlineStr">
        <x:is>
          <x:t xml:space="preserve">• Não entregue plano/prova/regularização em pacote de diagnóstico.</x:t>
        </x:is>
      </x:c>
    </x:row>
    <x:row r="20">
      <x:c r="A20" s="2" t="inlineStr">
        <x:is>
          <x:t xml:space="preserve">• Não inclua fiscalização, crédito, operadora, entidade gestora, verificador ou deslocamento sem precificação própria.</x:t>
        </x:is>
      </x:c>
    </x:row>
    <x:row r="23">
      <x:c r="A23" s="25" t="inlineStr">
        <x:is>
          <x:t xml:space="preserve">Fórmula do método</x:t>
        </x:is>
      </x:c>
      <x:c r="B23" s="24" t="n"/>
      <x:c r="C23" s="24" t="n"/>
      <x:c r="D23" s="24" t="n"/>
      <x:c r="E23" s="24" t="n"/>
      <x:c r="F23" s="24" t="n"/>
      <x:c r="G23" s="24" t="n"/>
      <x:c r="H23" s="24" t="n"/>
    </x:row>
    <x:row r="24">
      <x:c r="A24" s="2" t="inlineStr">
        <x:is>
          <x:t xml:space="preserve">• Preço de referência = preço-base do pacote × multiplicador de score × multiplicador de nº de cadeias × multiplicador de abrangência × multiplicador de urgência × multiplicador de fiscalização</x:t>
        </x:is>
      </x:c>
    </x:row>
    <x:row r="25">
      <x:c r="A25" s="2" t="inlineStr">
        <x:is>
          <x:t xml:space="preserve">• Score = papel na cadeia + tipo de cadeia + maturidade documental + tipo de prova</x:t>
        </x:is>
      </x:c>
    </x:row>
    <x:row r="26">
      <x:c r="A26" s="2" t="inlineStr">
        <x:is>
          <x:t xml:space="preserve">• Faixa comercial sugerida = preço de referência ± 10%</x:t>
        </x:is>
      </x:c>
    </x:row>
    <x:row r="27">
      <x:c r="A27" s="2" t="inlineStr">
        <x:is>
          <x:t xml:space="preserve">• Recomenda-se manter desconto estratégico e urgência fora da proposta padrão, para preservar a leitura de valor.</x:t>
        </x:is>
      </x:c>
    </x:row>
    <x:row r="30">
      <x:c r="A30" s="25" t="inlineStr">
        <x:is>
          <x:t xml:space="preserve">O que sempre entra / pode entrar / deve ficar fora</x:t>
        </x:is>
      </x:c>
      <x:c r="B30" s="24" t="n"/>
      <x:c r="C30" s="24" t="n"/>
      <x:c r="D30" s="24" t="n"/>
      <x:c r="E30" s="24" t="n"/>
      <x:c r="F30" s="24" t="n"/>
      <x:c r="G30" s="24" t="n"/>
      <x:c r="H30" s="24" t="n"/>
    </x:row>
    <x:row r="31">
      <x:c r="A31" s="5" t="inlineStr">
        <x:is>
          <x:t xml:space="preserve">Sempre entra no preço</x:t>
        </x:is>
      </x:c>
      <x:c r="B31" s="5" t="inlineStr">
        <x:is>
          <x:t xml:space="preserve">Pode entrar com adicional</x:t>
        </x:is>
      </x:c>
      <x:c r="C31" s="5" t="inlineStr">
        <x:is>
          <x:t xml:space="preserve">Fica fora do escopo-padrão</x:t>
        </x:is>
      </x:c>
    </x:row>
    <x:row r="32">
      <x:c r="A32" s="6" t="inlineStr">
        <x:is>
          <x:t xml:space="preserve">Triagem e enquadramento</x:t>
        </x:is>
      </x:c>
      <x:c r="B32" s="6" t="inlineStr">
        <x:is>
          <x:t xml:space="preserve">Reuniões extras com contador/compras</x:t>
        </x:is>
      </x:c>
      <x:c r="C32" s="6" t="inlineStr">
        <x:is>
          <x:t xml:space="preserve">Compra de créditos ou certificados</x:t>
        </x:is>
      </x:c>
    </x:row>
    <x:row r="33">
      <x:c r="A33" s="6" t="inlineStr">
        <x:is>
          <x:t xml:space="preserve">Mapa de obrigações</x:t>
        </x:is>
      </x:c>
      <x:c r="B33" s="6" t="inlineStr">
        <x:is>
          <x:t xml:space="preserve">Análise ampliada de notas e massa</x:t>
        </x:is>
      </x:c>
      <x:c r="C33" s="6" t="inlineStr">
        <x:is>
          <x:t xml:space="preserve">Taxa de entidade gestora</x:t>
        </x:is>
      </x:c>
    </x:row>
    <x:row r="34">
      <x:c r="A34" s="6" t="inlineStr">
        <x:is>
          <x:t xml:space="preserve">Revisão documental mínima</x:t>
        </x:is>
      </x:c>
      <x:c r="B34" s="6" t="inlineStr">
        <x:is>
          <x:t xml:space="preserve">Consolidação multiunidade</x:t>
        </x:is>
      </x:c>
      <x:c r="C34" s="6" t="inlineStr">
        <x:is>
          <x:t xml:space="preserve">Custo de operador ou cooperativa</x:t>
        </x:is>
      </x:c>
    </x:row>
    <x:row r="35">
      <x:c r="A35" s="6" t="inlineStr">
        <x:is>
          <x:t xml:space="preserve">Relatório executivo / parecer comercial</x:t>
        </x:is>
      </x:c>
      <x:c r="B35" s="6" t="inlineStr">
        <x:is>
          <x:t xml:space="preserve">Resposta a fiscalização</x:t>
        </x:is>
      </x:c>
      <x:c r="C35" s="6" t="inlineStr">
        <x:is>
          <x:t xml:space="preserve">Parecer jurídico ou contencioso</x:t>
        </x:is>
      </x:c>
    </x:row>
    <x:row r="36">
      <x:c r="A36" s="6" t="inlineStr">
        <x:is>
          <x:t xml:space="preserve">Cadastro ou estruturação do pacote contratado</x:t>
        </x:is>
      </x:c>
      <x:c r="B36" s="6" t="inlineStr">
        <x:is>
          <x:t xml:space="preserve">Treinamento interno</x:t>
        </x:is>
      </x:c>
      <x:c r="C36" s="6" t="inlineStr">
        <x:is>
          <x:t xml:space="preserve">Deslocamentos e viagens</x:t>
        </x:is>
      </x:c>
    </x:row>
  </x:sheetData>
  <x:mergeCells>
    <x:mergeCell ref="A18:H18"/>
    <x:mergeCell ref="A4:H4"/>
    <x:mergeCell ref="A26:H26"/>
    <x:mergeCell ref="A30:H30"/>
    <x:mergeCell ref="A15:H15"/>
    <x:mergeCell ref="A25:H25"/>
    <x:mergeCell ref="A20:H20"/>
    <x:mergeCell ref="A24:H24"/>
    <x:mergeCell ref="A16:H16"/>
    <x:mergeCell ref="A19:H19"/>
    <x:mergeCell ref="A23:H23"/>
    <x:mergeCell ref="A1:H2"/>
    <x:mergeCell ref="A27:H27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14" customWidth="1"/>
    <x:col min="3" max="3" width="14" customWidth="1"/>
    <x:col min="4" max="4" width="14" customWidth="1"/>
    <x:col min="5" max="5" width="14" customWidth="1"/>
    <x:col min="6" max="6" width="28" customWidth="1"/>
    <x:col min="7" max="7" width="18" customWidth="1"/>
  </x:cols>
  <x:sheetData>
    <x:row r="1">
      <x:c r="A1" s="1" t="inlineStr">
        <x:is>
          <x:t xml:space="preserve">Catálogo de serviços e escopo por pacote</x:t>
        </x:is>
      </x:c>
    </x:row>
    <x:row r="2"/>
    <x:row r="4">
      <x:c r="A4" s="25" t="inlineStr">
        <x:is>
          <x:t xml:space="preserve">Matriz de escopo</x:t>
        </x:is>
      </x:c>
      <x:c r="B4" s="24" t="n"/>
      <x:c r="C4" s="24" t="n"/>
      <x:c r="D4" s="24" t="n"/>
      <x:c r="E4" s="24" t="n"/>
      <x:c r="F4" s="24" t="n"/>
      <x:c r="G4" s="24" t="n"/>
    </x:row>
    <x:row r="5">
      <x:c r="A5" s="5" t="inlineStr">
        <x:is>
          <x:t xml:space="preserve">Item de serviço</x:t>
        </x:is>
      </x:c>
      <x:c r="B5" s="5" t="inlineStr">
        <x:is>
          <x:t xml:space="preserve">Diagnóstico</x:t>
        </x:is>
      </x:c>
      <x:c r="C5" s="5" t="inlineStr">
        <x:is>
          <x:t xml:space="preserve">Regularização</x:t>
        </x:is>
      </x:c>
      <x:c r="D5" s="5" t="inlineStr">
        <x:is>
          <x:t xml:space="preserve">Avançado</x:t>
        </x:is>
      </x:c>
      <x:c r="E5" s="5" t="inlineStr">
        <x:is>
          <x:t xml:space="preserve">Gestão mensal</x:t>
        </x:is>
      </x:c>
      <x:c r="F5" s="5" t="inlineStr">
        <x:is>
          <x:t xml:space="preserve">Observação comercial</x:t>
        </x:is>
      </x:c>
      <x:c r="G5" s="5" t="inlineStr">
        <x:is>
          <x:t xml:space="preserve">Cobrança sugerida</x:t>
        </x:is>
      </x:c>
    </x:row>
    <x:row r="6">
      <x:c r="A6" s="6" t="inlineStr">
        <x:is>
          <x:t xml:space="preserve">Triagem e briefing inicial</x:t>
        </x:is>
      </x:c>
      <x:c r="B6" s="8" t="inlineStr">
        <x:is>
          <x:t xml:space="preserve">Incluído</x:t>
        </x:is>
      </x:c>
      <x:c r="C6" s="8" t="inlineStr">
        <x:is>
          <x:t xml:space="preserve">Incluído</x:t>
        </x:is>
      </x:c>
      <x:c r="D6" s="8" t="inlineStr">
        <x:is>
          <x:t xml:space="preserve">Incluído</x:t>
        </x:is>
      </x:c>
      <x:c r="E6" s="8" t="inlineStr">
        <x:is>
          <x:t xml:space="preserve">Incluído</x:t>
        </x:is>
      </x:c>
      <x:c r="F6" s="6" t="inlineStr">
        <x:is>
          <x:t xml:space="preserve">Base de todo trabalho.</x:t>
        </x:is>
      </x:c>
      <x:c r="G6" s="6" t="inlineStr">
        <x:is>
          <x:t xml:space="preserve">Dentro do pacote</x:t>
        </x:is>
      </x:c>
    </x:row>
    <x:row r="7">
      <x:c r="A7" s="6" t="inlineStr">
        <x:is>
          <x:t xml:space="preserve">Enquadramento regulatório</x:t>
        </x:is>
      </x:c>
      <x:c r="B7" s="8" t="inlineStr">
        <x:is>
          <x:t xml:space="preserve">Incluído</x:t>
        </x:is>
      </x:c>
      <x:c r="C7" s="8" t="inlineStr">
        <x:is>
          <x:t xml:space="preserve">Incluído</x:t>
        </x:is>
      </x:c>
      <x:c r="D7" s="8" t="inlineStr">
        <x:is>
          <x:t xml:space="preserve">Incluído</x:t>
        </x:is>
      </x:c>
      <x:c r="E7" s="6" t="inlineStr">
        <x:is>
          <x:t xml:space="preserve">Revisões pontuais</x:t>
        </x:is>
      </x:c>
      <x:c r="F7" s="6" t="inlineStr">
        <x:is>
          <x:t xml:space="preserve">Nunca vender separado de triagem.</x:t>
        </x:is>
      </x:c>
      <x:c r="G7" s="6" t="inlineStr">
        <x:is>
          <x:t xml:space="preserve">Dentro do pacote</x:t>
        </x:is>
      </x:c>
    </x:row>
    <x:row r="8">
      <x:c r="A8" s="6" t="inlineStr">
        <x:is>
          <x:t xml:space="preserve">Mapa de cadeias / papéis</x:t>
        </x:is>
      </x:c>
      <x:c r="B8" s="8" t="inlineStr">
        <x:is>
          <x:t xml:space="preserve">Incluído</x:t>
        </x:is>
      </x:c>
      <x:c r="C8" s="8" t="inlineStr">
        <x:is>
          <x:t xml:space="preserve">Incluído</x:t>
        </x:is>
      </x:c>
      <x:c r="D8" s="8" t="inlineStr">
        <x:is>
          <x:t xml:space="preserve">Incluído</x:t>
        </x:is>
      </x:c>
      <x:c r="E8" s="6" t="inlineStr">
        <x:is>
          <x:t xml:space="preserve">Atualização quando mudar operação</x:t>
        </x:is>
      </x:c>
      <x:c r="F8" s="6" t="inlineStr">
        <x:is>
          <x:t xml:space="preserve">Essencial para multicadeia.</x:t>
        </x:is>
      </x:c>
      <x:c r="G8" s="6" t="inlineStr">
        <x:is>
          <x:t xml:space="preserve">Dentro do pacote</x:t>
        </x:is>
      </x:c>
    </x:row>
    <x:row r="9">
      <x:c r="A9" s="6" t="inlineStr">
        <x:is>
          <x:t xml:space="preserve">Checklist documental</x:t>
        </x:is>
      </x:c>
      <x:c r="B9" s="8" t="inlineStr">
        <x:is>
          <x:t xml:space="preserve">Incluído</x:t>
        </x:is>
      </x:c>
      <x:c r="C9" s="8" t="inlineStr">
        <x:is>
          <x:t xml:space="preserve">Incluído</x:t>
        </x:is>
      </x:c>
      <x:c r="D9" s="8" t="inlineStr">
        <x:is>
          <x:t xml:space="preserve">Incluído</x:t>
        </x:is>
      </x:c>
      <x:c r="E9" s="6" t="inlineStr">
        <x:is>
          <x:t xml:space="preserve">Atualização mensal</x:t>
        </x:is>
      </x:c>
      <x:c r="F9" s="6" t="inlineStr">
        <x:is>
          <x:t xml:space="preserve">Escopo mínimo obrigatório.</x:t>
        </x:is>
      </x:c>
      <x:c r="G9" s="6" t="inlineStr">
        <x:is>
          <x:t xml:space="preserve">Dentro do pacote</x:t>
        </x:is>
      </x:c>
    </x:row>
    <x:row r="10">
      <x:c r="A10" s="6" t="inlineStr">
        <x:is>
          <x:t xml:space="preserve">Cadastro / adesão ao sistema</x:t>
        </x:is>
      </x:c>
      <x:c r="B10" s="9" t="inlineStr">
        <x:is>
          <x:t xml:space="preserve">Não</x:t>
        </x:is>
      </x:c>
      <x:c r="C10" s="8" t="inlineStr">
        <x:is>
          <x:t xml:space="preserve">Incluído</x:t>
        </x:is>
      </x:c>
      <x:c r="D10" s="8" t="inlineStr">
        <x:is>
          <x:t xml:space="preserve">Incluído</x:t>
        </x:is>
      </x:c>
      <x:c r="E10" s="6" t="inlineStr">
        <x:is>
          <x:t xml:space="preserve">Somente manutenção</x:t>
        </x:is>
      </x:c>
      <x:c r="F10" s="6" t="inlineStr">
        <x:is>
          <x:t xml:space="preserve">Cobrar no mínimo como regularização.</x:t>
        </x:is>
      </x:c>
      <x:c r="G10" s="6" t="inlineStr">
        <x:is>
          <x:t xml:space="preserve">Dentro do pacote</x:t>
        </x:is>
      </x:c>
    </x:row>
    <x:row r="11">
      <x:c r="A11" s="6" t="inlineStr">
        <x:is>
          <x:t xml:space="preserve">Plano de logística reversa</x:t>
        </x:is>
      </x:c>
      <x:c r="B11" s="9" t="inlineStr">
        <x:is>
          <x:t xml:space="preserve">Não</x:t>
        </x:is>
      </x:c>
      <x:c r="C11" s="8" t="inlineStr">
        <x:is>
          <x:t xml:space="preserve">Incluído</x:t>
        </x:is>
      </x:c>
      <x:c r="D11" s="8" t="inlineStr">
        <x:is>
          <x:t xml:space="preserve">Incluído</x:t>
        </x:is>
      </x:c>
      <x:c r="E11" s="6" t="inlineStr">
        <x:is>
          <x:t xml:space="preserve">Atualização / revisão</x:t>
        </x:is>
      </x:c>
      <x:c r="F11" s="6" t="inlineStr">
        <x:is>
          <x:t xml:space="preserve">Pode exigir coleta interna de dados.</x:t>
        </x:is>
      </x:c>
      <x:c r="G11" s="6" t="inlineStr">
        <x:is>
          <x:t xml:space="preserve">Dentro do pacote</x:t>
        </x:is>
      </x:c>
    </x:row>
    <x:row r="12">
      <x:c r="A12" s="6" t="inlineStr">
        <x:is>
          <x:t xml:space="preserve">Contato com entidade gestora / parceiro</x:t>
        </x:is>
      </x:c>
      <x:c r="B12" s="10" t="inlineStr">
        <x:is>
          <x:t xml:space="preserve">Opcional</x:t>
        </x:is>
      </x:c>
      <x:c r="C12" s="8" t="inlineStr">
        <x:is>
          <x:t xml:space="preserve">Incluído</x:t>
        </x:is>
      </x:c>
      <x:c r="D12" s="8" t="inlineStr">
        <x:is>
          <x:t xml:space="preserve">Incluído</x:t>
        </x:is>
      </x:c>
      <x:c r="E12" s="10" t="inlineStr">
        <x:is>
          <x:t xml:space="preserve">Opcional</x:t>
        </x:is>
      </x:c>
      <x:c r="F12" s="6" t="inlineStr">
        <x:is>
          <x:t xml:space="preserve">Só se estiver no escopo.</x:t>
        </x:is>
      </x:c>
      <x:c r="G12" s="6" t="inlineStr">
        <x:is>
          <x:t xml:space="preserve">Adicional quando extrapolar</x:t>
        </x:is>
      </x:c>
    </x:row>
    <x:row r="13">
      <x:c r="A13" s="6" t="inlineStr">
        <x:is>
          <x:t xml:space="preserve">Análise de notas e massa</x:t>
        </x:is>
      </x:c>
      <x:c r="B13" s="9" t="inlineStr">
        <x:is>
          <x:t xml:space="preserve">Não</x:t>
        </x:is>
      </x:c>
      <x:c r="C13" s="10" t="inlineStr">
        <x:is>
          <x:t xml:space="preserve">Opcional</x:t>
        </x:is>
      </x:c>
      <x:c r="D13" s="8" t="inlineStr">
        <x:is>
          <x:t xml:space="preserve">Incluído</x:t>
        </x:is>
      </x:c>
      <x:c r="E13" s="10" t="inlineStr">
        <x:is>
          <x:t xml:space="preserve">Opcional</x:t>
        </x:is>
      </x:c>
      <x:c r="F13" s="6" t="inlineStr">
        <x:is>
          <x:t xml:space="preserve">É um dos maiores geradores de hora.</x:t>
        </x:is>
      </x:c>
      <x:c r="G13" s="6" t="inlineStr">
        <x:is>
          <x:t xml:space="preserve">Avançado ou adicional</x:t>
        </x:is>
      </x:c>
    </x:row>
    <x:row r="14">
      <x:c r="A14" s="6" t="inlineStr">
        <x:is>
          <x:t xml:space="preserve">Consolidação multiunidade</x:t>
        </x:is>
      </x:c>
      <x:c r="B14" s="9" t="inlineStr">
        <x:is>
          <x:t xml:space="preserve">Não</x:t>
        </x:is>
      </x:c>
      <x:c r="C14" s="10" t="inlineStr">
        <x:is>
          <x:t xml:space="preserve">Opcional</x:t>
        </x:is>
      </x:c>
      <x:c r="D14" s="8" t="inlineStr">
        <x:is>
          <x:t xml:space="preserve">Incluído</x:t>
        </x:is>
      </x:c>
      <x:c r="E14" s="8" t="inlineStr">
        <x:is>
          <x:t xml:space="preserve">Incluído</x:t>
        </x:is>
      </x:c>
      <x:c r="F14" s="6" t="inlineStr">
        <x:is>
          <x:t xml:space="preserve">Cobrar por abrangência.</x:t>
        </x:is>
      </x:c>
      <x:c r="G14" s="6" t="inlineStr">
        <x:is>
          <x:t xml:space="preserve">Avançado ou adicional</x:t>
        </x:is>
      </x:c>
    </x:row>
    <x:row r="15">
      <x:c r="A15" s="6" t="inlineStr">
        <x:is>
          <x:t xml:space="preserve">Revisão de prova e evidências</x:t>
        </x:is>
      </x:c>
      <x:c r="B15" s="9" t="inlineStr">
        <x:is>
          <x:t xml:space="preserve">Não</x:t>
        </x:is>
      </x:c>
      <x:c r="C15" s="10" t="inlineStr">
        <x:is>
          <x:t xml:space="preserve">Opcional</x:t>
        </x:is>
      </x:c>
      <x:c r="D15" s="8" t="inlineStr">
        <x:is>
          <x:t xml:space="preserve">Incluído</x:t>
        </x:is>
      </x:c>
      <x:c r="E15" s="8" t="inlineStr">
        <x:is>
          <x:t xml:space="preserve">Incluído</x:t>
        </x:is>
      </x:c>
      <x:c r="F15" s="6" t="inlineStr">
        <x:is>
          <x:t xml:space="preserve">Evita autodeclaração frágil.</x:t>
        </x:is>
      </x:c>
      <x:c r="G15" s="6" t="inlineStr">
        <x:is>
          <x:t xml:space="preserve">Avançado ou adicional</x:t>
        </x:is>
      </x:c>
    </x:row>
    <x:row r="16">
      <x:c r="A16" s="6" t="inlineStr">
        <x:is>
          <x:t xml:space="preserve">Resposta a diligência/fiscalização</x:t>
        </x:is>
      </x:c>
      <x:c r="B16" s="9" t="inlineStr">
        <x:is>
          <x:t xml:space="preserve">Não</x:t>
        </x:is>
      </x:c>
      <x:c r="C16" s="9" t="inlineStr">
        <x:is>
          <x:t xml:space="preserve">Não</x:t>
        </x:is>
      </x:c>
      <x:c r="D16" s="10" t="inlineStr">
        <x:is>
          <x:t xml:space="preserve">Opcional</x:t>
        </x:is>
      </x:c>
      <x:c r="E16" s="10" t="inlineStr">
        <x:is>
          <x:t xml:space="preserve">Opcional</x:t>
        </x:is>
      </x:c>
      <x:c r="F16" s="6" t="inlineStr">
        <x:is>
          <x:t xml:space="preserve">Sempre tratar como adicional ou pacote premium.</x:t>
        </x:is>
      </x:c>
      <x:c r="G16" s="6" t="inlineStr">
        <x:is>
          <x:t xml:space="preserve">Adicional</x:t>
        </x:is>
      </x:c>
    </x:row>
    <x:row r="17">
      <x:c r="A17" s="6" t="inlineStr">
        <x:is>
          <x:t xml:space="preserve">Governança e acompanhamento</x:t>
        </x:is>
      </x:c>
      <x:c r="B17" s="9" t="inlineStr">
        <x:is>
          <x:t xml:space="preserve">Não</x:t>
        </x:is>
      </x:c>
      <x:c r="C17" s="9" t="inlineStr">
        <x:is>
          <x:t xml:space="preserve">Não</x:t>
        </x:is>
      </x:c>
      <x:c r="D17" s="10" t="inlineStr">
        <x:is>
          <x:t xml:space="preserve">Opcional</x:t>
        </x:is>
      </x:c>
      <x:c r="E17" s="8" t="inlineStr">
        <x:is>
          <x:t xml:space="preserve">Incluído</x:t>
        </x:is>
      </x:c>
      <x:c r="F17" s="6" t="inlineStr">
        <x:is>
          <x:t xml:space="preserve">Produto recorrente.</x:t>
        </x:is>
      </x:c>
      <x:c r="G17" s="6" t="inlineStr">
        <x:is>
          <x:t xml:space="preserve">Mensalidade</x:t>
        </x:is>
      </x:c>
    </x:row>
    <x:row r="18">
      <x:c r="A18" s="6" t="inlineStr">
        <x:is>
          <x:t xml:space="preserve">Reunião executiva de fechamento</x:t>
        </x:is>
      </x:c>
      <x:c r="B18" s="8" t="inlineStr">
        <x:is>
          <x:t xml:space="preserve">Incluído</x:t>
        </x:is>
      </x:c>
      <x:c r="C18" s="8" t="inlineStr">
        <x:is>
          <x:t xml:space="preserve">Incluído</x:t>
        </x:is>
      </x:c>
      <x:c r="D18" s="8" t="inlineStr">
        <x:is>
          <x:t xml:space="preserve">Incluído</x:t>
        </x:is>
      </x:c>
      <x:c r="E18" s="6" t="inlineStr">
        <x:is>
          <x:t xml:space="preserve">Trimestral / mensal</x:t>
        </x:is>
      </x:c>
      <x:c r="F18" s="6" t="inlineStr">
        <x:is>
          <x:t xml:space="preserve">Entrega executiva valorizada.</x:t>
        </x:is>
      </x:c>
      <x:c r="G18" s="6" t="inlineStr">
        <x:is>
          <x:t xml:space="preserve">Dentro do pacote</x:t>
        </x:is>
      </x:c>
    </x:row>
    <x:row r="21">
      <x:c r="A21" s="25" t="inlineStr">
        <x:is>
          <x:t xml:space="preserve">Exclusões recomendadas na proposta</x:t>
        </x:is>
      </x:c>
      <x:c r="B21" s="24" t="n"/>
      <x:c r="C21" s="24" t="n"/>
      <x:c r="D21" s="24" t="n"/>
      <x:c r="E21" s="24" t="n"/>
      <x:c r="F21" s="24" t="n"/>
      <x:c r="G21" s="24" t="n"/>
    </x:row>
    <x:row r="22">
      <x:c r="A22" s="2" t="inlineStr">
        <x:is>
          <x:t xml:space="preserve">• Compra de CCRLR/CERE, certificados equivalentes, taxa de operador, taxa de gestora ou de verificador.</x:t>
        </x:is>
      </x:c>
    </x:row>
    <x:row r="23">
      <x:c r="A23" s="2" t="inlineStr">
        <x:is>
          <x:t xml:space="preserve">• Custos de deslocamento, visitas presenciais fora do combinado e despesas de viagem.</x:t>
        </x:is>
      </x:c>
    </x:row>
    <x:row r="24">
      <x:c r="A24" s="2" t="inlineStr">
        <x:is>
          <x:t xml:space="preserve">• Atuação contenciosa, defesa administrativa/jurídica, emissão de parecer jurídico ou regularização de passivo histórico omitido.</x:t>
        </x:is>
      </x:c>
    </x:row>
    <x:row r="25">
      <x:c r="A25" s="2" t="inlineStr">
        <x:is>
          <x:t xml:space="preserve">• Mudança de escopo por inclusão de nova cadeia, nova empresa do grupo ou novos estabelecimentos sem aditivo.</x:t>
        </x:is>
      </x:c>
    </x:row>
  </x:sheetData>
  <x:mergeCells>
    <x:mergeCell ref="A1:G2"/>
    <x:mergeCell ref="A21:G21"/>
    <x:mergeCell ref="A22:G22"/>
    <x:mergeCell ref="A4:G4"/>
    <x:mergeCell ref="A24:G24"/>
    <x:mergeCell ref="A25:G25"/>
    <x:mergeCell ref="A23:G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25" customWidth="1"/>
    <x:col min="3" max="3" width="22" customWidth="1"/>
    <x:col min="4" max="4" width="21" customWidth="1"/>
    <x:col min="5" max="5" width="10" customWidth="1"/>
    <x:col min="6" max="6" width="21" customWidth="1"/>
    <x:col min="7" max="7" width="12" customWidth="1"/>
    <x:col min="8" max="8" width="22" customWidth="1"/>
    <x:col min="9" max="9" width="8" customWidth="1"/>
    <x:col min="10" max="10" width="12" customWidth="1"/>
    <x:col min="11" max="11" width="13" customWidth="1"/>
    <x:col min="12" max="12" width="13" customWidth="1"/>
    <x:col min="13" max="13" width="13" customWidth="1"/>
    <x:col min="14" max="14" width="13" customWidth="1"/>
    <x:col min="15" max="15" width="31" customWidth="1"/>
  </x:cols>
  <x:sheetData>
    <x:row r="1">
      <x:c r="A1" s="1" t="inlineStr">
        <x:is>
          <x:t xml:space="preserve">Matriz principal — cenários típicos, complexidade e preços de referência</x:t>
        </x:is>
      </x:c>
    </x:row>
    <x:row r="2"/>
    <x:row r="4">
      <x:c r="A4" s="25" t="inlineStr">
        <x:is>
          <x:t xml:space="preserve">Leitura da matriz</x:t>
        </x:is>
      </x:c>
      <x:c r="B4" s="24" t="n"/>
      <x:c r="C4" s="24" t="n"/>
      <x:c r="D4" s="24" t="n"/>
      <x:c r="E4" s="24" t="n"/>
      <x:c r="F4" s="24" t="n"/>
      <x:c r="G4" s="24" t="n"/>
      <x:c r="H4" s="24" t="n"/>
      <x:c r="I4" s="24" t="n"/>
      <x:c r="J4" s="24" t="n"/>
      <x:c r="K4" s="24" t="n"/>
      <x:c r="L4" s="24" t="n"/>
      <x:c r="M4" s="24" t="n"/>
      <x:c r="N4" s="24" t="n"/>
      <x:c r="O4" s="24" t="n"/>
    </x:row>
    <x:row r="5">
      <x:c r="A5" s="2" t="inlineStr">
        <x:is>
          <x:t xml:space="preserve">• Os preços abaixo são calculados com o método da aba 05_Simulador, usando cenário típico do segmento e sem urgência/fiscalização ativa.</x:t>
        </x:is>
      </x:c>
    </x:row>
    <x:row r="6">
      <x:c r="A6" s="2" t="inlineStr">
        <x:is>
          <x:t xml:space="preserve">• Use a matriz para leitura rápida; use o simulador para o caso real do cliente.</x:t>
        </x:is>
      </x:c>
    </x:row>
    <x:row r="8">
      <x:c r="A8" s="5" t="inlineStr">
        <x:is>
          <x:t xml:space="preserve">Segmento</x:t>
        </x:is>
      </x:c>
      <x:c r="B8" s="5" t="inlineStr">
        <x:is>
          <x:t xml:space="preserve">Exemplo</x:t>
        </x:is>
      </x:c>
      <x:c r="C8" s="5" t="inlineStr">
        <x:is>
          <x:t xml:space="preserve">Papel típico</x:t>
        </x:is>
      </x:c>
      <x:c r="D8" s="5" t="inlineStr">
        <x:is>
          <x:t xml:space="preserve">Cadeia típica</x:t>
        </x:is>
      </x:c>
      <x:c r="E8" s="5" t="inlineStr">
        <x:is>
          <x:t xml:space="preserve">Nº cadeias</x:t>
        </x:is>
      </x:c>
      <x:c r="F8" s="5" t="inlineStr">
        <x:is>
          <x:t xml:space="preserve">Abrangência típica</x:t>
        </x:is>
      </x:c>
      <x:c r="G8" s="5" t="inlineStr">
        <x:is>
          <x:t xml:space="preserve">Maturidade</x:t>
        </x:is>
      </x:c>
      <x:c r="H8" s="5" t="inlineStr">
        <x:is>
          <x:t xml:space="preserve">Tipo de prova</x:t>
        </x:is>
      </x:c>
      <x:c r="I8" s="5" t="inlineStr">
        <x:is>
          <x:t xml:space="preserve">Score</x:t>
        </x:is>
      </x:c>
      <x:c r="J8" s="5" t="inlineStr">
        <x:is>
          <x:t xml:space="preserve">Complexidade</x:t>
        </x:is>
      </x:c>
      <x:c r="K8" s="5" t="inlineStr">
        <x:is>
          <x:t xml:space="preserve">Diagnóstico</x:t>
        </x:is>
      </x:c>
      <x:c r="L8" s="5" t="inlineStr">
        <x:is>
          <x:t xml:space="preserve">Regularização</x:t>
        </x:is>
      </x:c>
      <x:c r="M8" s="5" t="inlineStr">
        <x:is>
          <x:t xml:space="preserve">Avançado</x:t>
        </x:is>
      </x:c>
      <x:c r="N8" s="5" t="inlineStr">
        <x:is>
          <x:t xml:space="preserve">Gestão mensal</x:t>
        </x:is>
      </x:c>
      <x:c r="O8" s="5" t="inlineStr">
        <x:is>
          <x:t xml:space="preserve">Observação de venda</x:t>
        </x:is>
      </x:c>
    </x:row>
    <x:row r="9">
      <x:c r="A9" s="6" t="inlineStr">
        <x:is>
          <x:t xml:space="preserve">Comércio local simples</x:t>
        </x:is>
      </x:c>
      <x:c r="B9" s="6" t="inlineStr">
        <x:is>
          <x:t xml:space="preserve">Loja, farmácia, papelaria</x:t>
        </x:is>
      </x:c>
      <x:c r="C9" s="6" t="inlineStr">
        <x:is>
          <x:t xml:space="preserve">Comerciante</x:t>
        </x:is>
      </x:c>
      <x:c r="D9" s="6" t="inlineStr">
        <x:is>
          <x:t xml:space="preserve">Embalagens em geral</x:t>
        </x:is>
      </x:c>
      <x:c r="E9" s="6" t="inlineStr">
        <x:is>
          <x:t xml:space="preserve">1</x:t>
        </x:is>
      </x:c>
      <x:c r="F9" s="6" t="inlineStr">
        <x:is>
          <x:t xml:space="preserve">1 CNPJ / 1 unidade</x:t>
        </x:is>
      </x:c>
      <x:c r="G9" s="6" t="inlineStr">
        <x:is>
          <x:t xml:space="preserve">Média</x:t>
        </x:is>
      </x:c>
      <x:c r="H9" s="6" t="inlineStr">
        <x:is>
          <x:t xml:space="preserve">Declaratória simples</x:t>
        </x:is>
      </x:c>
      <x:c r="I9" s="6">
        <x:f>IFERROR(VLOOKUP(C9,Apoio!$A$2:$B$6,2,FALSE),0)+IFERROR(VLOOKUP(D9,Apoio!$D$2:$E$4,2,FALSE),0)+IFERROR(VLOOKUP(G9,Apoio!$G$2:$H$5,2,FALSE),0)+IFERROR(VLOOKUP(H9,Apoio!$J$2:$K$5,2,FALSE),0)</x:f>
        <x:v>7</x:v>
      </x:c>
      <x:c r="J9" s="6" t="str">
        <x:f>VLOOKUP(I9,Apoio!$Y$2:$AA$6,2,TRUE)</x:f>
        <x:v>Baixa</x:v>
      </x:c>
      <x:c r="K9" s="11">
        <x:f>ROUNDUP((Apoio!$AD$2*VLOOKUP(I9,Apoio!$Y$2:$AA$6,3,TRUE)*VLOOKUP(E9,Apoio!$M$2:$N$5,2,FALSE)*VLOOKUP(F9,Apoio!$P$2:$Q$5,2,FALSE))/50,0)*50</x:f>
        <x:v>1300</x:v>
      </x:c>
      <x:c r="L9" s="11">
        <x:f>ROUNDUP((Apoio!$AD$3*VLOOKUP(I9,Apoio!$Y$2:$AA$6,3,TRUE)*VLOOKUP(E9,Apoio!$M$2:$N$5,2,FALSE)*VLOOKUP(F9,Apoio!$P$2:$Q$5,2,FALSE))/50,0)*50</x:f>
        <x:v>2750</x:v>
      </x:c>
      <x:c r="M9" s="11">
        <x:f>ROUNDUP((Apoio!$AD$4*VLOOKUP(I9,Apoio!$Y$2:$AA$6,3,TRUE)*VLOOKUP(E9,Apoio!$M$2:$N$5,2,FALSE)*VLOOKUP(F9,Apoio!$P$2:$Q$5,2,FALSE))/50,0)*50</x:f>
        <x:v>4600</x:v>
      </x:c>
      <x:c r="N9" s="11">
        <x:f>ROUNDUP((Apoio!$AD$5*VLOOKUP(I9,Apoio!$Y$2:$AA$6,3,TRUE)*VLOOKUP(E9,Apoio!$M$2:$N$5,2,FALSE)*VLOOKUP(F9,Apoio!$P$2:$Q$5,2,FALSE))/50,0)*50</x:f>
        <x:v>850</x:v>
      </x:c>
      <x:c r="O9" s="6" t="inlineStr">
        <x:is>
          <x:t xml:space="preserve">Entrada ideal para pacote diagnóstico ou regularização enxuta.</x:t>
        </x:is>
      </x:c>
    </x:row>
    <x:row r="10">
      <x:c r="A10" s="6" t="inlineStr">
        <x:is>
          <x:t xml:space="preserve">E-commerce / seller pequeno</x:t>
        </x:is>
      </x:c>
      <x:c r="B10" s="6" t="inlineStr">
        <x:is>
          <x:t xml:space="preserve">Operação própria com despacho de embalagens</x:t>
        </x:is>
      </x:c>
      <x:c r="C10" s="6" t="inlineStr">
        <x:is>
          <x:t xml:space="preserve">Misto / mais de um papel</x:t>
        </x:is>
      </x:c>
      <x:c r="D10" s="6" t="inlineStr">
        <x:is>
          <x:t xml:space="preserve">Embalagens em geral</x:t>
        </x:is>
      </x:c>
      <x:c r="E10" s="6" t="inlineStr">
        <x:is>
          <x:t xml:space="preserve">1</x:t>
        </x:is>
      </x:c>
      <x:c r="F10" s="6" t="inlineStr">
        <x:is>
          <x:t xml:space="preserve">1 CNPJ / 1 unidade</x:t>
        </x:is>
      </x:c>
      <x:c r="G10" s="6" t="inlineStr">
        <x:is>
          <x:t xml:space="preserve">Média</x:t>
        </x:is>
      </x:c>
      <x:c r="H10" s="6" t="inlineStr">
        <x:is>
          <x:t xml:space="preserve">Documental consolidada</x:t>
        </x:is>
      </x:c>
      <x:c r="I10" s="6">
        <x:f>IFERROR(VLOOKUP(C10,Apoio!$A$2:$B$6,2,FALSE),0)+IFERROR(VLOOKUP(D10,Apoio!$D$2:$E$4,2,FALSE),0)+IFERROR(VLOOKUP(G10,Apoio!$G$2:$H$5,2,FALSE),0)+IFERROR(VLOOKUP(H10,Apoio!$J$2:$K$5,2,FALSE),0)</x:f>
        <x:v>11</x:v>
      </x:c>
      <x:c r="J10" s="6" t="str">
        <x:f>VLOOKUP(I10,Apoio!$Y$2:$AA$6,2,TRUE)</x:f>
        <x:v>Alta</x:v>
      </x:c>
      <x:c r="K10" s="11">
        <x:f>ROUNDUP((Apoio!$AD$2*VLOOKUP(I10,Apoio!$Y$2:$AA$6,3,TRUE)*VLOOKUP(E10,Apoio!$M$2:$N$5,2,FALSE)*VLOOKUP(F10,Apoio!$P$2:$Q$5,2,FALSE))/50,0)*50</x:f>
        <x:v>1800</x:v>
      </x:c>
      <x:c r="L10" s="11">
        <x:f>ROUNDUP((Apoio!$AD$3*VLOOKUP(I10,Apoio!$Y$2:$AA$6,3,TRUE)*VLOOKUP(E10,Apoio!$M$2:$N$5,2,FALSE)*VLOOKUP(F10,Apoio!$P$2:$Q$5,2,FALSE))/50,0)*50</x:f>
        <x:v>3850</x:v>
      </x:c>
      <x:c r="M10" s="11">
        <x:f>ROUNDUP((Apoio!$AD$4*VLOOKUP(I10,Apoio!$Y$2:$AA$6,3,TRUE)*VLOOKUP(E10,Apoio!$M$2:$N$5,2,FALSE)*VLOOKUP(F10,Apoio!$P$2:$Q$5,2,FALSE))/50,0)*50</x:f>
        <x:v>6500</x:v>
      </x:c>
      <x:c r="N10" s="11">
        <x:f>ROUNDUP((Apoio!$AD$5*VLOOKUP(I10,Apoio!$Y$2:$AA$6,3,TRUE)*VLOOKUP(E10,Apoio!$M$2:$N$5,2,FALSE)*VLOOKUP(F10,Apoio!$P$2:$Q$5,2,FALSE))/50,0)*50</x:f>
        <x:v>1150</x:v>
      </x:c>
      <x:c r="O10" s="6" t="inlineStr">
        <x:is>
          <x:t xml:space="preserve">Atenção para marca própria e importação.</x:t>
        </x:is>
      </x:c>
    </x:row>
    <x:row r="11">
      <x:c r="A11" s="6" t="inlineStr">
        <x:is>
          <x:t xml:space="preserve">Varejo alimentar</x:t>
        </x:is>
      </x:c>
      <x:c r="B11" s="6" t="inlineStr">
        <x:is>
          <x:t xml:space="preserve">Mercado, atacarejo local</x:t>
        </x:is>
      </x:c>
      <x:c r="C11" s="6" t="inlineStr">
        <x:is>
          <x:t xml:space="preserve">Comerciante</x:t>
        </x:is>
      </x:c>
      <x:c r="D11" s="6" t="inlineStr">
        <x:is>
          <x:t xml:space="preserve">Embalagens em geral</x:t>
        </x:is>
      </x:c>
      <x:c r="E11" s="6" t="inlineStr">
        <x:is>
          <x:t xml:space="preserve">1</x:t>
        </x:is>
      </x:c>
      <x:c r="F11" s="6" t="inlineStr">
        <x:is>
          <x:t xml:space="preserve">2-3 unidades ou CNPJs</x:t>
        </x:is>
      </x:c>
      <x:c r="G11" s="6" t="inlineStr">
        <x:is>
          <x:t xml:space="preserve">Baixa</x:t>
        </x:is>
      </x:c>
      <x:c r="H11" s="6" t="inlineStr">
        <x:is>
          <x:t xml:space="preserve">Documental consolidada</x:t>
        </x:is>
      </x:c>
      <x:c r="I11" s="6">
        <x:f>IFERROR(VLOOKUP(C11,Apoio!$A$2:$B$6,2,FALSE),0)+IFERROR(VLOOKUP(D11,Apoio!$D$2:$E$4,2,FALSE),0)+IFERROR(VLOOKUP(G11,Apoio!$G$2:$H$5,2,FALSE),0)+IFERROR(VLOOKUP(H11,Apoio!$J$2:$K$5,2,FALSE),0)</x:f>
        <x:v>9</x:v>
      </x:c>
      <x:c r="J11" s="6" t="str">
        <x:f>VLOOKUP(I11,Apoio!$Y$2:$AA$6,2,TRUE)</x:f>
        <x:v>Moderada</x:v>
      </x:c>
      <x:c r="K11" s="11">
        <x:f>ROUNDUP((Apoio!$AD$2*VLOOKUP(I11,Apoio!$Y$2:$AA$6,3,TRUE)*VLOOKUP(E11,Apoio!$M$2:$N$5,2,FALSE)*VLOOKUP(F11,Apoio!$P$2:$Q$5,2,FALSE))/50,0)*50</x:f>
        <x:v>1700</x:v>
      </x:c>
      <x:c r="L11" s="11">
        <x:f>ROUNDUP((Apoio!$AD$3*VLOOKUP(I11,Apoio!$Y$2:$AA$6,3,TRUE)*VLOOKUP(E11,Apoio!$M$2:$N$5,2,FALSE)*VLOOKUP(F11,Apoio!$P$2:$Q$5,2,FALSE))/50,0)*50</x:f>
        <x:v>3550</x:v>
      </x:c>
      <x:c r="M11" s="11">
        <x:f>ROUNDUP((Apoio!$AD$4*VLOOKUP(I11,Apoio!$Y$2:$AA$6,3,TRUE)*VLOOKUP(E11,Apoio!$M$2:$N$5,2,FALSE)*VLOOKUP(F11,Apoio!$P$2:$Q$5,2,FALSE))/50,0)*50</x:f>
        <x:v>5950</x:v>
      </x:c>
      <x:c r="N11" s="11">
        <x:f>ROUNDUP((Apoio!$AD$5*VLOOKUP(I11,Apoio!$Y$2:$AA$6,3,TRUE)*VLOOKUP(E11,Apoio!$M$2:$N$5,2,FALSE)*VLOOKUP(F11,Apoio!$P$2:$Q$5,2,FALSE))/50,0)*50</x:f>
        <x:v>1050</x:v>
      </x:c>
      <x:c r="O11" s="6" t="inlineStr">
        <x:is>
          <x:t xml:space="preserve">Costuma consumir tempo em notas, volume e coordenação interna.</x:t>
        </x:is>
      </x:c>
    </x:row>
    <x:row r="12">
      <x:c r="A12" s="6" t="inlineStr">
        <x:is>
          <x:t xml:space="preserve">Rede varejista / franquia</x:t>
        </x:is>
      </x:c>
      <x:c r="B12" s="6" t="inlineStr">
        <x:is>
          <x:t xml:space="preserve">Rede de lojas</x:t>
        </x:is>
      </x:c>
      <x:c r="C12" s="6" t="inlineStr">
        <x:is>
          <x:t xml:space="preserve">Comerciante</x:t>
        </x:is>
      </x:c>
      <x:c r="D12" s="6" t="inlineStr">
        <x:is>
          <x:t xml:space="preserve">Multicadeia</x:t>
        </x:is>
      </x:c>
      <x:c r="E12" s="6" t="inlineStr">
        <x:is>
          <x:t xml:space="preserve">2</x:t>
        </x:is>
      </x:c>
      <x:c r="F12" s="6" t="inlineStr">
        <x:is>
          <x:t xml:space="preserve">4-10 unidades ou CNPJs</x:t>
        </x:is>
      </x:c>
      <x:c r="G12" s="6" t="inlineStr">
        <x:is>
          <x:t xml:space="preserve">Baixa</x:t>
        </x:is>
      </x:c>
      <x:c r="H12" s="6" t="inlineStr">
        <x:is>
          <x:t xml:space="preserve">Rastreabilidade</x:t>
        </x:is>
      </x:c>
      <x:c r="I12" s="6">
        <x:f>IFERROR(VLOOKUP(C12,Apoio!$A$2:$B$6,2,FALSE),0)+IFERROR(VLOOKUP(D12,Apoio!$D$2:$E$4,2,FALSE),0)+IFERROR(VLOOKUP(G12,Apoio!$G$2:$H$5,2,FALSE),0)+IFERROR(VLOOKUP(H12,Apoio!$J$2:$K$5,2,FALSE),0)</x:f>
        <x:v>13</x:v>
      </x:c>
      <x:c r="J12" s="6" t="str">
        <x:f>VLOOKUP(I12,Apoio!$Y$2:$AA$6,2,TRUE)</x:f>
        <x:v>Alta</x:v>
      </x:c>
      <x:c r="K12" s="11">
        <x:f>ROUNDUP((Apoio!$AD$2*VLOOKUP(I12,Apoio!$Y$2:$AA$6,3,TRUE)*VLOOKUP(E12,Apoio!$M$2:$N$5,2,FALSE)*VLOOKUP(F12,Apoio!$P$2:$Q$5,2,FALSE))/50,0)*50</x:f>
        <x:v>2600</x:v>
      </x:c>
      <x:c r="L12" s="11">
        <x:f>ROUNDUP((Apoio!$AD$3*VLOOKUP(I12,Apoio!$Y$2:$AA$6,3,TRUE)*VLOOKUP(E12,Apoio!$M$2:$N$5,2,FALSE)*VLOOKUP(F12,Apoio!$P$2:$Q$5,2,FALSE))/50,0)*50</x:f>
        <x:v>5550</x:v>
      </x:c>
      <x:c r="M12" s="11">
        <x:f>ROUNDUP((Apoio!$AD$4*VLOOKUP(I12,Apoio!$Y$2:$AA$6,3,TRUE)*VLOOKUP(E12,Apoio!$M$2:$N$5,2,FALSE)*VLOOKUP(F12,Apoio!$P$2:$Q$5,2,FALSE))/50,0)*50</x:f>
        <x:v>9350</x:v>
      </x:c>
      <x:c r="N12" s="11">
        <x:f>ROUNDUP((Apoio!$AD$5*VLOOKUP(I12,Apoio!$Y$2:$AA$6,3,TRUE)*VLOOKUP(E12,Apoio!$M$2:$N$5,2,FALSE)*VLOOKUP(F12,Apoio!$P$2:$Q$5,2,FALSE))/50,0)*50</x:f>
        <x:v>1650</x:v>
      </x:c>
      <x:c r="O12" s="6" t="inlineStr">
        <x:is>
          <x:t xml:space="preserve">Nunca vender como um único cadastro.</x:t>
        </x:is>
      </x:c>
    </x:row>
    <x:row r="13">
      <x:c r="A13" s="6" t="inlineStr">
        <x:is>
          <x:t xml:space="preserve">Atacado / distribuição</x:t>
        </x:is>
      </x:c>
      <x:c r="B13" s="6" t="inlineStr">
        <x:is>
          <x:t xml:space="preserve">Distribuidor regional</x:t>
        </x:is>
      </x:c>
      <x:c r="C13" s="6" t="inlineStr">
        <x:is>
          <x:t xml:space="preserve">Distribuidor</x:t>
        </x:is>
      </x:c>
      <x:c r="D13" s="6" t="inlineStr">
        <x:is>
          <x:t xml:space="preserve">Embalagens em geral</x:t>
        </x:is>
      </x:c>
      <x:c r="E13" s="6" t="inlineStr">
        <x:is>
          <x:t xml:space="preserve">1</x:t>
        </x:is>
      </x:c>
      <x:c r="F13" s="6" t="inlineStr">
        <x:is>
          <x:t xml:space="preserve">2-3 unidades ou CNPJs</x:t>
        </x:is>
      </x:c>
      <x:c r="G13" s="6" t="inlineStr">
        <x:is>
          <x:t xml:space="preserve">Baixa</x:t>
        </x:is>
      </x:c>
      <x:c r="H13" s="6" t="inlineStr">
        <x:is>
          <x:t xml:space="preserve">Rastreabilidade</x:t>
        </x:is>
      </x:c>
      <x:c r="I13" s="6">
        <x:f>IFERROR(VLOOKUP(C13,Apoio!$A$2:$B$6,2,FALSE),0)+IFERROR(VLOOKUP(D13,Apoio!$D$2:$E$4,2,FALSE),0)+IFERROR(VLOOKUP(G13,Apoio!$G$2:$H$5,2,FALSE),0)+IFERROR(VLOOKUP(H13,Apoio!$J$2:$K$5,2,FALSE),0)</x:f>
        <x:v>11</x:v>
      </x:c>
      <x:c r="J13" s="6" t="str">
        <x:f>VLOOKUP(I13,Apoio!$Y$2:$AA$6,2,TRUE)</x:f>
        <x:v>Alta</x:v>
      </x:c>
      <x:c r="K13" s="11">
        <x:f>ROUNDUP((Apoio!$AD$2*VLOOKUP(I13,Apoio!$Y$2:$AA$6,3,TRUE)*VLOOKUP(E13,Apoio!$M$2:$N$5,2,FALSE)*VLOOKUP(F13,Apoio!$P$2:$Q$5,2,FALSE))/50,0)*50</x:f>
        <x:v>2000</x:v>
      </x:c>
      <x:c r="L13" s="11">
        <x:f>ROUNDUP((Apoio!$AD$3*VLOOKUP(I13,Apoio!$Y$2:$AA$6,3,TRUE)*VLOOKUP(E13,Apoio!$M$2:$N$5,2,FALSE)*VLOOKUP(F13,Apoio!$P$2:$Q$5,2,FALSE))/50,0)*50</x:f>
        <x:v>4250</x:v>
      </x:c>
      <x:c r="M13" s="11">
        <x:f>ROUNDUP((Apoio!$AD$4*VLOOKUP(I13,Apoio!$Y$2:$AA$6,3,TRUE)*VLOOKUP(E13,Apoio!$M$2:$N$5,2,FALSE)*VLOOKUP(F13,Apoio!$P$2:$Q$5,2,FALSE))/50,0)*50</x:f>
        <x:v>7150</x:v>
      </x:c>
      <x:c r="N13" s="11">
        <x:f>ROUNDUP((Apoio!$AD$5*VLOOKUP(I13,Apoio!$Y$2:$AA$6,3,TRUE)*VLOOKUP(E13,Apoio!$M$2:$N$5,2,FALSE)*VLOOKUP(F13,Apoio!$P$2:$Q$5,2,FALSE))/50,0)*50</x:f>
        <x:v>1300</x:v>
      </x:c>
      <x:c r="O13" s="6" t="inlineStr">
        <x:is>
          <x:t xml:space="preserve">Volume e múltiplos fornecedores elevam a complexidade.</x:t>
        </x:is>
      </x:c>
    </x:row>
    <x:row r="14">
      <x:c r="A14" s="6" t="inlineStr">
        <x:is>
          <x:t xml:space="preserve">Indústria leve</x:t>
        </x:is>
      </x:c>
      <x:c r="B14" s="6" t="inlineStr">
        <x:is>
          <x:t xml:space="preserve">Alimentos, cosméticos, saneantes</x:t>
        </x:is>
      </x:c>
      <x:c r="C14" s="6" t="inlineStr">
        <x:is>
          <x:t xml:space="preserve">Fabricante / Marca própria</x:t>
        </x:is>
      </x:c>
      <x:c r="D14" s="6" t="inlineStr">
        <x:is>
          <x:t xml:space="preserve">Embalagens em geral</x:t>
        </x:is>
      </x:c>
      <x:c r="E14" s="6" t="inlineStr">
        <x:is>
          <x:t xml:space="preserve">1</x:t>
        </x:is>
      </x:c>
      <x:c r="F14" s="6" t="inlineStr">
        <x:is>
          <x:t xml:space="preserve">1 CNPJ / 1 unidade</x:t>
        </x:is>
      </x:c>
      <x:c r="G14" s="6" t="inlineStr">
        <x:is>
          <x:t xml:space="preserve">Média</x:t>
        </x:is>
      </x:c>
      <x:c r="H14" s="6" t="inlineStr">
        <x:is>
          <x:t xml:space="preserve">Documental consolidada</x:t>
        </x:is>
      </x:c>
      <x:c r="I14" s="6">
        <x:f>IFERROR(VLOOKUP(C14,Apoio!$A$2:$B$6,2,FALSE),0)+IFERROR(VLOOKUP(D14,Apoio!$D$2:$E$4,2,FALSE),0)+IFERROR(VLOOKUP(G14,Apoio!$G$2:$H$5,2,FALSE),0)+IFERROR(VLOOKUP(H14,Apoio!$J$2:$K$5,2,FALSE),0)</x:f>
        <x:v>11</x:v>
      </x:c>
      <x:c r="J14" s="6" t="str">
        <x:f>VLOOKUP(I14,Apoio!$Y$2:$AA$6,2,TRUE)</x:f>
        <x:v>Alta</x:v>
      </x:c>
      <x:c r="K14" s="11">
        <x:f>ROUNDUP((Apoio!$AD$2*VLOOKUP(I14,Apoio!$Y$2:$AA$6,3,TRUE)*VLOOKUP(E14,Apoio!$M$2:$N$5,2,FALSE)*VLOOKUP(F14,Apoio!$P$2:$Q$5,2,FALSE))/50,0)*50</x:f>
        <x:v>1800</x:v>
      </x:c>
      <x:c r="L14" s="11">
        <x:f>ROUNDUP((Apoio!$AD$3*VLOOKUP(I14,Apoio!$Y$2:$AA$6,3,TRUE)*VLOOKUP(E14,Apoio!$M$2:$N$5,2,FALSE)*VLOOKUP(F14,Apoio!$P$2:$Q$5,2,FALSE))/50,0)*50</x:f>
        <x:v>3850</x:v>
      </x:c>
      <x:c r="M14" s="11">
        <x:f>ROUNDUP((Apoio!$AD$4*VLOOKUP(I14,Apoio!$Y$2:$AA$6,3,TRUE)*VLOOKUP(E14,Apoio!$M$2:$N$5,2,FALSE)*VLOOKUP(F14,Apoio!$P$2:$Q$5,2,FALSE))/50,0)*50</x:f>
        <x:v>6500</x:v>
      </x:c>
      <x:c r="N14" s="11">
        <x:f>ROUNDUP((Apoio!$AD$5*VLOOKUP(I14,Apoio!$Y$2:$AA$6,3,TRUE)*VLOOKUP(E14,Apoio!$M$2:$N$5,2,FALSE)*VLOOKUP(F14,Apoio!$P$2:$Q$5,2,FALSE))/50,0)*50</x:f>
        <x:v>1150</x:v>
      </x:c>
      <x:c r="O14" s="6" t="inlineStr">
        <x:is>
          <x:t xml:space="preserve">Preço deve refletir papel de fabricante.</x:t>
        </x:is>
      </x:c>
    </x:row>
    <x:row r="15">
      <x:c r="A15" s="6" t="inlineStr">
        <x:is>
          <x:t xml:space="preserve">Indústria alta complexidade</x:t>
        </x:is>
      </x:c>
      <x:c r="B15" s="6" t="inlineStr">
        <x:is>
          <x:t xml:space="preserve">Química, plástico, metal, múltiplas linhas</x:t>
        </x:is>
      </x:c>
      <x:c r="C15" s="6" t="inlineStr">
        <x:is>
          <x:t xml:space="preserve">Fabricante / Marca própria</x:t>
        </x:is>
      </x:c>
      <x:c r="D15" s="6" t="inlineStr">
        <x:is>
          <x:t xml:space="preserve">Multicadeia</x:t>
        </x:is>
      </x:c>
      <x:c r="E15" s="6" t="inlineStr">
        <x:is>
          <x:t xml:space="preserve">2</x:t>
        </x:is>
      </x:c>
      <x:c r="F15" s="6" t="inlineStr">
        <x:is>
          <x:t xml:space="preserve">2-3 unidades ou CNPJs</x:t>
        </x:is>
      </x:c>
      <x:c r="G15" s="6" t="inlineStr">
        <x:is>
          <x:t xml:space="preserve">Baixa</x:t>
        </x:is>
      </x:c>
      <x:c r="H15" s="6" t="inlineStr">
        <x:is>
          <x:t xml:space="preserve">Rastreabilidade</x:t>
        </x:is>
      </x:c>
      <x:c r="I15" s="6">
        <x:f>IFERROR(VLOOKUP(C15,Apoio!$A$2:$B$6,2,FALSE),0)+IFERROR(VLOOKUP(D15,Apoio!$D$2:$E$4,2,FALSE),0)+IFERROR(VLOOKUP(G15,Apoio!$G$2:$H$5,2,FALSE),0)+IFERROR(VLOOKUP(H15,Apoio!$J$2:$K$5,2,FALSE),0)</x:f>
        <x:v>16</x:v>
      </x:c>
      <x:c r="J15" s="6" t="str">
        <x:f>VLOOKUP(I15,Apoio!$Y$2:$AA$6,2,TRUE)</x:f>
        <x:v>Muito alta</x:v>
      </x:c>
      <x:c r="K15" s="11">
        <x:f>ROUNDUP((Apoio!$AD$2*VLOOKUP(I15,Apoio!$Y$2:$AA$6,3,TRUE)*VLOOKUP(E15,Apoio!$M$2:$N$5,2,FALSE)*VLOOKUP(F15,Apoio!$P$2:$Q$5,2,FALSE))/50,0)*50</x:f>
        <x:v>2700</x:v>
      </x:c>
      <x:c r="L15" s="11">
        <x:f>ROUNDUP((Apoio!$AD$3*VLOOKUP(I15,Apoio!$Y$2:$AA$6,3,TRUE)*VLOOKUP(E15,Apoio!$M$2:$N$5,2,FALSE)*VLOOKUP(F15,Apoio!$P$2:$Q$5,2,FALSE))/50,0)*50</x:f>
        <x:v>5700</x:v>
      </x:c>
      <x:c r="M15" s="11">
        <x:f>ROUNDUP((Apoio!$AD$4*VLOOKUP(I15,Apoio!$Y$2:$AA$6,3,TRUE)*VLOOKUP(E15,Apoio!$M$2:$N$5,2,FALSE)*VLOOKUP(F15,Apoio!$P$2:$Q$5,2,FALSE))/50,0)*50</x:f>
        <x:v>9600</x:v>
      </x:c>
      <x:c r="N15" s="11">
        <x:f>ROUNDUP((Apoio!$AD$5*VLOOKUP(I15,Apoio!$Y$2:$AA$6,3,TRUE)*VLOOKUP(E15,Apoio!$M$2:$N$5,2,FALSE)*VLOOKUP(F15,Apoio!$P$2:$Q$5,2,FALSE))/50,0)*50</x:f>
        <x:v>1700</x:v>
      </x:c>
      <x:c r="O15" s="6" t="inlineStr">
        <x:is>
          <x:t xml:space="preserve">Tende a pedir pacote avançado e gestão.</x:t>
        </x:is>
      </x:c>
    </x:row>
    <x:row r="16">
      <x:c r="A16" s="6" t="inlineStr">
        <x:is>
          <x:t xml:space="preserve">Importador / marca própria</x:t>
        </x:is>
      </x:c>
      <x:c r="B16" s="6" t="inlineStr">
        <x:is>
          <x:t xml:space="preserve">Importador com distribuição nacional/regional</x:t>
        </x:is>
      </x:c>
      <x:c r="C16" s="6" t="inlineStr">
        <x:is>
          <x:t xml:space="preserve">Importador</x:t>
        </x:is>
      </x:c>
      <x:c r="D16" s="6" t="inlineStr">
        <x:is>
          <x:t xml:space="preserve">Embalagens em geral</x:t>
        </x:is>
      </x:c>
      <x:c r="E16" s="6" t="inlineStr">
        <x:is>
          <x:t xml:space="preserve">1</x:t>
        </x:is>
      </x:c>
      <x:c r="F16" s="6" t="inlineStr">
        <x:is>
          <x:t xml:space="preserve">1 CNPJ / 1 unidade</x:t>
        </x:is>
      </x:c>
      <x:c r="G16" s="6" t="inlineStr">
        <x:is>
          <x:t xml:space="preserve">Baixa</x:t>
        </x:is>
      </x:c>
      <x:c r="H16" s="6" t="inlineStr">
        <x:is>
          <x:t xml:space="preserve">Documental consolidada</x:t>
        </x:is>
      </x:c>
      <x:c r="I16" s="6">
        <x:f>IFERROR(VLOOKUP(C16,Apoio!$A$2:$B$6,2,FALSE),0)+IFERROR(VLOOKUP(D16,Apoio!$D$2:$E$4,2,FALSE),0)+IFERROR(VLOOKUP(G16,Apoio!$G$2:$H$5,2,FALSE),0)+IFERROR(VLOOKUP(H16,Apoio!$J$2:$K$5,2,FALSE),0)</x:f>
        <x:v>11</x:v>
      </x:c>
      <x:c r="J16" s="6" t="str">
        <x:f>VLOOKUP(I16,Apoio!$Y$2:$AA$6,2,TRUE)</x:f>
        <x:v>Alta</x:v>
      </x:c>
      <x:c r="K16" s="11">
        <x:f>ROUNDUP((Apoio!$AD$2*VLOOKUP(I16,Apoio!$Y$2:$AA$6,3,TRUE)*VLOOKUP(E16,Apoio!$M$2:$N$5,2,FALSE)*VLOOKUP(F16,Apoio!$P$2:$Q$5,2,FALSE))/50,0)*50</x:f>
        <x:v>1800</x:v>
      </x:c>
      <x:c r="L16" s="11">
        <x:f>ROUNDUP((Apoio!$AD$3*VLOOKUP(I16,Apoio!$Y$2:$AA$6,3,TRUE)*VLOOKUP(E16,Apoio!$M$2:$N$5,2,FALSE)*VLOOKUP(F16,Apoio!$P$2:$Q$5,2,FALSE))/50,0)*50</x:f>
        <x:v>3850</x:v>
      </x:c>
      <x:c r="M16" s="11">
        <x:f>ROUNDUP((Apoio!$AD$4*VLOOKUP(I16,Apoio!$Y$2:$AA$6,3,TRUE)*VLOOKUP(E16,Apoio!$M$2:$N$5,2,FALSE)*VLOOKUP(F16,Apoio!$P$2:$Q$5,2,FALSE))/50,0)*50</x:f>
        <x:v>6500</x:v>
      </x:c>
      <x:c r="N16" s="11">
        <x:f>ROUNDUP((Apoio!$AD$5*VLOOKUP(I16,Apoio!$Y$2:$AA$6,3,TRUE)*VLOOKUP(E16,Apoio!$M$2:$N$5,2,FALSE)*VLOOKUP(F16,Apoio!$P$2:$Q$5,2,FALSE))/50,0)*50</x:f>
        <x:v>1150</x:v>
      </x:c>
      <x:c r="O16" s="6" t="inlineStr">
        <x:is>
          <x:t xml:space="preserve">Evitar preço de varejo simples.</x:t>
        </x:is>
      </x:c>
    </x:row>
    <x:row r="17">
      <x:c r="A17" s="6" t="inlineStr">
        <x:is>
          <x:t xml:space="preserve">Posto + conveniência + lubrificantes</x:t>
        </x:is>
      </x:c>
      <x:c r="B17" s="6" t="inlineStr">
        <x:is>
          <x:t xml:space="preserve">Posto com loja e venda de lubrificantes</x:t>
        </x:is>
      </x:c>
      <x:c r="C17" s="6" t="inlineStr">
        <x:is>
          <x:t xml:space="preserve">Comerciante</x:t>
        </x:is>
      </x:c>
      <x:c r="D17" s="6" t="inlineStr">
        <x:is>
          <x:t xml:space="preserve">Multicadeia</x:t>
        </x:is>
      </x:c>
      <x:c r="E17" s="6" t="inlineStr">
        <x:is>
          <x:t xml:space="preserve">2</x:t>
        </x:is>
      </x:c>
      <x:c r="F17" s="6" t="inlineStr">
        <x:is>
          <x:t xml:space="preserve">1 CNPJ / 1 unidade</x:t>
        </x:is>
      </x:c>
      <x:c r="G17" s="6" t="inlineStr">
        <x:is>
          <x:t xml:space="preserve">Baixa</x:t>
        </x:is>
      </x:c>
      <x:c r="H17" s="6" t="inlineStr">
        <x:is>
          <x:t xml:space="preserve">Auditável / verificador</x:t>
        </x:is>
      </x:c>
      <x:c r="I17" s="6">
        <x:f>IFERROR(VLOOKUP(C17,Apoio!$A$2:$B$6,2,FALSE),0)+IFERROR(VLOOKUP(D17,Apoio!$D$2:$E$4,2,FALSE),0)+IFERROR(VLOOKUP(G17,Apoio!$G$2:$H$5,2,FALSE),0)+IFERROR(VLOOKUP(H17,Apoio!$J$2:$K$5,2,FALSE),0)</x:f>
        <x:v>14</x:v>
      </x:c>
      <x:c r="J17" s="6" t="str">
        <x:f>VLOOKUP(I17,Apoio!$Y$2:$AA$6,2,TRUE)</x:f>
        <x:v>Muito alta</x:v>
      </x:c>
      <x:c r="K17" s="11">
        <x:f>ROUNDUP((Apoio!$AD$2*VLOOKUP(I17,Apoio!$Y$2:$AA$6,3,TRUE)*VLOOKUP(E17,Apoio!$M$2:$N$5,2,FALSE)*VLOOKUP(F17,Apoio!$P$2:$Q$5,2,FALSE))/50,0)*50</x:f>
        <x:v>2450</x:v>
      </x:c>
      <x:c r="L17" s="11">
        <x:f>ROUNDUP((Apoio!$AD$3*VLOOKUP(I17,Apoio!$Y$2:$AA$6,3,TRUE)*VLOOKUP(E17,Apoio!$M$2:$N$5,2,FALSE)*VLOOKUP(F17,Apoio!$P$2:$Q$5,2,FALSE))/50,0)*50</x:f>
        <x:v>5200</x:v>
      </x:c>
      <x:c r="M17" s="11">
        <x:f>ROUNDUP((Apoio!$AD$4*VLOOKUP(I17,Apoio!$Y$2:$AA$6,3,TRUE)*VLOOKUP(E17,Apoio!$M$2:$N$5,2,FALSE)*VLOOKUP(F17,Apoio!$P$2:$Q$5,2,FALSE))/50,0)*50</x:f>
        <x:v>8700</x:v>
      </x:c>
      <x:c r="N17" s="11">
        <x:f>ROUNDUP((Apoio!$AD$5*VLOOKUP(I17,Apoio!$Y$2:$AA$6,3,TRUE)*VLOOKUP(E17,Apoio!$M$2:$N$5,2,FALSE)*VLOOKUP(F17,Apoio!$P$2:$Q$5,2,FALSE))/50,0)*50</x:f>
        <x:v>1550</x:v>
      </x:c>
      <x:c r="O17" s="6" t="inlineStr">
        <x:is>
          <x:t xml:space="preserve">Clássico caso de multicadeia; tende a subir de preço rápido.</x:t>
        </x:is>
      </x:c>
    </x:row>
    <x:row r="18">
      <x:c r="A18" s="6" t="inlineStr">
        <x:is>
          <x:t xml:space="preserve">Agro revenda</x:t>
        </x:is>
      </x:c>
      <x:c r="B18" s="6" t="inlineStr">
        <x:is>
          <x:t xml:space="preserve">Revenda de insumos / defensivos</x:t>
        </x:is>
      </x:c>
      <x:c r="C18" s="6" t="inlineStr">
        <x:is>
          <x:t xml:space="preserve">Distribuidor</x:t>
        </x:is>
      </x:c>
      <x:c r="D18" s="6" t="inlineStr">
        <x:is>
          <x:t xml:space="preserve">Cadeia específica art. 33</x:t>
        </x:is>
      </x:c>
      <x:c r="E18" s="6" t="inlineStr">
        <x:is>
          <x:t xml:space="preserve">1</x:t>
        </x:is>
      </x:c>
      <x:c r="F18" s="6" t="inlineStr">
        <x:is>
          <x:t xml:space="preserve">1 CNPJ / 1 unidade</x:t>
        </x:is>
      </x:c>
      <x:c r="G18" s="6" t="inlineStr">
        <x:is>
          <x:t xml:space="preserve">Baixa</x:t>
        </x:is>
      </x:c>
      <x:c r="H18" s="6" t="inlineStr">
        <x:is>
          <x:t xml:space="preserve">Auditável / verificador</x:t>
        </x:is>
      </x:c>
      <x:c r="I18" s="6">
        <x:f>IFERROR(VLOOKUP(C18,Apoio!$A$2:$B$6,2,FALSE),0)+IFERROR(VLOOKUP(D18,Apoio!$D$2:$E$4,2,FALSE),0)+IFERROR(VLOOKUP(G18,Apoio!$G$2:$H$5,2,FALSE),0)+IFERROR(VLOOKUP(H18,Apoio!$J$2:$K$5,2,FALSE),0)</x:f>
        <x:v>14</x:v>
      </x:c>
      <x:c r="J18" s="6" t="str">
        <x:f>VLOOKUP(I18,Apoio!$Y$2:$AA$6,2,TRUE)</x:f>
        <x:v>Muito alta</x:v>
      </x:c>
      <x:c r="K18" s="11">
        <x:f>ROUNDUP((Apoio!$AD$2*VLOOKUP(I18,Apoio!$Y$2:$AA$6,3,TRUE)*VLOOKUP(E18,Apoio!$M$2:$N$5,2,FALSE)*VLOOKUP(F18,Apoio!$P$2:$Q$5,2,FALSE))/50,0)*50</x:f>
        <x:v>2100</x:v>
      </x:c>
      <x:c r="L18" s="11">
        <x:f>ROUNDUP((Apoio!$AD$3*VLOOKUP(I18,Apoio!$Y$2:$AA$6,3,TRUE)*VLOOKUP(E18,Apoio!$M$2:$N$5,2,FALSE)*VLOOKUP(F18,Apoio!$P$2:$Q$5,2,FALSE))/50,0)*50</x:f>
        <x:v>4500</x:v>
      </x:c>
      <x:c r="M18" s="11">
        <x:f>ROUNDUP((Apoio!$AD$4*VLOOKUP(I18,Apoio!$Y$2:$AA$6,3,TRUE)*VLOOKUP(E18,Apoio!$M$2:$N$5,2,FALSE)*VLOOKUP(F18,Apoio!$P$2:$Q$5,2,FALSE))/50,0)*50</x:f>
        <x:v>7600</x:v>
      </x:c>
      <x:c r="N18" s="11">
        <x:f>ROUNDUP((Apoio!$AD$5*VLOOKUP(I18,Apoio!$Y$2:$AA$6,3,TRUE)*VLOOKUP(E18,Apoio!$M$2:$N$5,2,FALSE)*VLOOKUP(F18,Apoio!$P$2:$Q$5,2,FALSE))/50,0)*50</x:f>
        <x:v>1350</x:v>
      </x:c>
      <x:c r="O18" s="6" t="inlineStr">
        <x:is>
          <x:t xml:space="preserve">Cadeia específica não deve ser tratada como pacote simples.</x:t>
        </x:is>
      </x:c>
    </x:row>
    <x:row r="19">
      <x:c r="A19" s="6" t="inlineStr">
        <x:is>
          <x:t xml:space="preserve">Cadeia específica pura</x:t>
        </x:is>
      </x:c>
      <x:c r="B19" s="6" t="inlineStr">
        <x:is>
          <x:t xml:space="preserve">Pneus, eletro, lâmpadas, medicamentos</x:t>
        </x:is>
      </x:c>
      <x:c r="C19" s="6" t="inlineStr">
        <x:is>
          <x:t xml:space="preserve">Misto / mais de um papel</x:t>
        </x:is>
      </x:c>
      <x:c r="D19" s="6" t="inlineStr">
        <x:is>
          <x:t xml:space="preserve">Cadeia específica art. 33</x:t>
        </x:is>
      </x:c>
      <x:c r="E19" s="6" t="inlineStr">
        <x:is>
          <x:t xml:space="preserve">1</x:t>
        </x:is>
      </x:c>
      <x:c r="F19" s="6" t="inlineStr">
        <x:is>
          <x:t xml:space="preserve">2-3 unidades ou CNPJs</x:t>
        </x:is>
      </x:c>
      <x:c r="G19" s="6" t="inlineStr">
        <x:is>
          <x:t xml:space="preserve">Baixa</x:t>
        </x:is>
      </x:c>
      <x:c r="H19" s="6" t="inlineStr">
        <x:is>
          <x:t xml:space="preserve">Auditável / verificador</x:t>
        </x:is>
      </x:c>
      <x:c r="I19" s="6">
        <x:f>IFERROR(VLOOKUP(C19,Apoio!$A$2:$B$6,2,FALSE),0)+IFERROR(VLOOKUP(D19,Apoio!$D$2:$E$4,2,FALSE),0)+IFERROR(VLOOKUP(G19,Apoio!$G$2:$H$5,2,FALSE),0)+IFERROR(VLOOKUP(H19,Apoio!$J$2:$K$5,2,FALSE),0)</x:f>
        <x:v>16</x:v>
      </x:c>
      <x:c r="J19" s="6" t="str">
        <x:f>VLOOKUP(I19,Apoio!$Y$2:$AA$6,2,TRUE)</x:f>
        <x:v>Muito alta</x:v>
      </x:c>
      <x:c r="K19" s="11">
        <x:f>ROUNDUP((Apoio!$AD$2*VLOOKUP(I19,Apoio!$Y$2:$AA$6,3,TRUE)*VLOOKUP(E19,Apoio!$M$2:$N$5,2,FALSE)*VLOOKUP(F19,Apoio!$P$2:$Q$5,2,FALSE))/50,0)*50</x:f>
        <x:v>2350</x:v>
      </x:c>
      <x:c r="L19" s="11">
        <x:f>ROUNDUP((Apoio!$AD$3*VLOOKUP(I19,Apoio!$Y$2:$AA$6,3,TRUE)*VLOOKUP(E19,Apoio!$M$2:$N$5,2,FALSE)*VLOOKUP(F19,Apoio!$P$2:$Q$5,2,FALSE))/50,0)*50</x:f>
        <x:v>4950</x:v>
      </x:c>
      <x:c r="M19" s="11">
        <x:f>ROUNDUP((Apoio!$AD$4*VLOOKUP(I19,Apoio!$Y$2:$AA$6,3,TRUE)*VLOOKUP(E19,Apoio!$M$2:$N$5,2,FALSE)*VLOOKUP(F19,Apoio!$P$2:$Q$5,2,FALSE))/50,0)*50</x:f>
        <x:v>8350</x:v>
      </x:c>
      <x:c r="N19" s="11">
        <x:f>ROUNDUP((Apoio!$AD$5*VLOOKUP(I19,Apoio!$Y$2:$AA$6,3,TRUE)*VLOOKUP(E19,Apoio!$M$2:$N$5,2,FALSE)*VLOOKUP(F19,Apoio!$P$2:$Q$5,2,FALSE))/50,0)*50</x:f>
        <x:v>1500</x:v>
      </x:c>
      <x:c r="O19" s="6" t="inlineStr">
        <x:is>
          <x:t xml:space="preserve">Checar rito específico antes de fechar escopo.</x:t>
        </x:is>
      </x:c>
    </x:row>
    <x:row r="20">
      <x:c r="A20" s="6" t="inlineStr">
        <x:is>
          <x:t xml:space="preserve">Operação multicadeia / grupo</x:t>
        </x:is>
      </x:c>
      <x:c r="B20" s="6" t="inlineStr">
        <x:is>
          <x:t xml:space="preserve">Grupo com várias empresas e frentes</x:t>
        </x:is>
      </x:c>
      <x:c r="C20" s="6" t="inlineStr">
        <x:is>
          <x:t xml:space="preserve">Misto / mais de um papel</x:t>
        </x:is>
      </x:c>
      <x:c r="D20" s="6" t="inlineStr">
        <x:is>
          <x:t xml:space="preserve">Multicadeia</x:t>
        </x:is>
      </x:c>
      <x:c r="E20" s="6" t="inlineStr">
        <x:is>
          <x:t xml:space="preserve">3</x:t>
        </x:is>
      </x:c>
      <x:c r="F20" s="6" t="inlineStr">
        <x:is>
          <x:t xml:space="preserve">11+ unidades ou CNPJs</x:t>
        </x:is>
      </x:c>
      <x:c r="G20" s="6" t="inlineStr">
        <x:is>
          <x:t xml:space="preserve">Crítica</x:t>
        </x:is>
      </x:c>
      <x:c r="H20" s="6" t="inlineStr">
        <x:is>
          <x:t xml:space="preserve">Auditável / verificador</x:t>
        </x:is>
      </x:c>
      <x:c r="I20" s="6">
        <x:f>IFERROR(VLOOKUP(C20,Apoio!$A$2:$B$6,2,FALSE),0)+IFERROR(VLOOKUP(D20,Apoio!$D$2:$E$4,2,FALSE),0)+IFERROR(VLOOKUP(G20,Apoio!$G$2:$H$5,2,FALSE),0)+IFERROR(VLOOKUP(H20,Apoio!$J$2:$K$5,2,FALSE),0)</x:f>
        <x:v>18</x:v>
      </x:c>
      <x:c r="J20" s="6" t="str">
        <x:f>VLOOKUP(I20,Apoio!$Y$2:$AA$6,2,TRUE)</x:f>
        <x:v>Crítica</x:v>
      </x:c>
      <x:c r="K20" s="11">
        <x:f>ROUNDUP((Apoio!$AD$2*VLOOKUP(I20,Apoio!$Y$2:$AA$6,3,TRUE)*VLOOKUP(E20,Apoio!$M$2:$N$5,2,FALSE)*VLOOKUP(F20,Apoio!$P$2:$Q$5,2,FALSE))/50,0)*50</x:f>
        <x:v>4400</x:v>
      </x:c>
      <x:c r="L20" s="11">
        <x:f>ROUNDUP((Apoio!$AD$3*VLOOKUP(I20,Apoio!$Y$2:$AA$6,3,TRUE)*VLOOKUP(E20,Apoio!$M$2:$N$5,2,FALSE)*VLOOKUP(F20,Apoio!$P$2:$Q$5,2,FALSE))/50,0)*50</x:f>
        <x:v>9350</x:v>
      </x:c>
      <x:c r="M20" s="11">
        <x:f>ROUNDUP((Apoio!$AD$4*VLOOKUP(I20,Apoio!$Y$2:$AA$6,3,TRUE)*VLOOKUP(E20,Apoio!$M$2:$N$5,2,FALSE)*VLOOKUP(F20,Apoio!$P$2:$Q$5,2,FALSE))/50,0)*50</x:f>
        <x:v>15750</x:v>
      </x:c>
      <x:c r="N20" s="11">
        <x:f>ROUNDUP((Apoio!$AD$5*VLOOKUP(I20,Apoio!$Y$2:$AA$6,3,TRUE)*VLOOKUP(E20,Apoio!$M$2:$N$5,2,FALSE)*VLOOKUP(F20,Apoio!$P$2:$Q$5,2,FALSE))/50,0)*50</x:f>
        <x:v>2800</x:v>
      </x:c>
      <x:c r="O20" s="6" t="inlineStr">
        <x:is>
          <x:t xml:space="preserve">Caso para proposta sob medida, governança e comitê interno.</x:t>
        </x:is>
      </x:c>
    </x:row>
  </x:sheetData>
  <x:mergeCells>
    <x:mergeCell ref="A5:O5"/>
    <x:mergeCell ref="A1:O2"/>
    <x:mergeCell ref="A4:O4"/>
    <x:mergeCell ref="A6:O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8" customWidth="1"/>
    <x:col min="2" max="2" width="24" customWidth="1"/>
    <x:col min="3" max="3" width="12" customWidth="1"/>
    <x:col min="4" max="4" width="14" customWidth="1"/>
    <x:col min="5" max="5" width="18" customWidth="1"/>
    <x:col min="6" max="6" width="22" customWidth="1"/>
    <x:col min="7" max="7" width="22" customWidth="1"/>
    <x:col min="8" max="8" width="22" customWidth="1"/>
  </x:cols>
  <x:sheetData>
    <x:row r="1">
      <x:c r="A1" s="1" t="inlineStr">
        <x:is>
          <x:t xml:space="preserve">Simulador de preço de referência</x:t>
        </x:is>
      </x:c>
    </x:row>
    <x:row r="2"/>
    <x:row r="3">
      <x:c r="A3" s="2" t="inlineStr">
        <x:is>
          <x:t xml:space="preserve">Preencha as células amarelas. O preço calculado é uma referência comercial antes de desconto estratégico e itens fora de escopo.</x:t>
        </x:is>
      </x:c>
    </x:row>
    <x:row r="5">
      <x:c r="A5" s="25" t="inlineStr">
        <x:is>
          <x:t xml:space="preserve">Entradas do caso</x:t>
        </x:is>
      </x:c>
      <x:c r="B5" s="24" t="n"/>
      <x:c r="C5" s="24" t="n"/>
      <x:c r="D5" s="24" t="n"/>
      <x:c r="E5" s="24" t="n"/>
      <x:c r="F5" s="24" t="n"/>
      <x:c r="G5" s="24" t="n"/>
      <x:c r="H5" s="24" t="n"/>
    </x:row>
    <x:row r="6">
      <x:c r="A6" s="12" t="inlineStr">
        <x:is>
          <x:t xml:space="preserve">Papel na cadeia</x:t>
        </x:is>
      </x:c>
      <x:c r="B6" s="13" t="inlineStr">
        <x:is>
          <x:t xml:space="preserve">Comerciante</x:t>
        </x:is>
      </x:c>
      <x:c r="D6" s="14">
        <x:f>IFERROR(VLOOKUP(B6,Apoio!$A$2:$B$6,2,FALSE),0)</x:f>
        <x:v>2</x:v>
      </x:c>
    </x:row>
    <x:row r="7">
      <x:c r="A7" s="12" t="inlineStr">
        <x:is>
          <x:t xml:space="preserve">Cadeia predominante</x:t>
        </x:is>
      </x:c>
      <x:c r="B7" s="13" t="inlineStr">
        <x:is>
          <x:t xml:space="preserve">Embalagens em geral</x:t>
        </x:is>
      </x:c>
      <x:c r="D7" s="15">
        <x:f>IFERROR(VLOOKUP(B7,Apoio!$D$2:$E$4,2,FALSE),0)</x:f>
        <x:v>2</x:v>
      </x:c>
    </x:row>
    <x:row r="8">
      <x:c r="A8" s="12" t="inlineStr">
        <x:is>
          <x:t xml:space="preserve">Nº de cadeias</x:t>
        </x:is>
      </x:c>
      <x:c r="B8" s="13" t="inlineStr">
        <x:is>
          <x:t xml:space="preserve">1</x:t>
        </x:is>
      </x:c>
      <x:c r="D8" s="15">
        <x:f>0</x:f>
        <x:v>0</x:v>
      </x:c>
    </x:row>
    <x:row r="9">
      <x:c r="A9" s="12" t="inlineStr">
        <x:is>
          <x:t xml:space="preserve">Abrangência</x:t>
        </x:is>
      </x:c>
      <x:c r="B9" s="13" t="inlineStr">
        <x:is>
          <x:t xml:space="preserve">1 CNPJ / 1 unidade</x:t>
        </x:is>
      </x:c>
      <x:c r="D9" s="15">
        <x:f>0</x:f>
        <x:v>0</x:v>
      </x:c>
    </x:row>
    <x:row r="10">
      <x:c r="A10" s="12" t="inlineStr">
        <x:is>
          <x:t xml:space="preserve">Maturidade documental</x:t>
        </x:is>
      </x:c>
      <x:c r="B10" s="13" t="inlineStr">
        <x:is>
          <x:t xml:space="preserve">Média</x:t>
        </x:is>
      </x:c>
      <x:c r="D10" s="15">
        <x:f>IFERROR(VLOOKUP(B10,Apoio!$G$2:$H$5,2,FALSE),0)</x:f>
        <x:v>2</x:v>
      </x:c>
    </x:row>
    <x:row r="11">
      <x:c r="A11" s="12" t="inlineStr">
        <x:is>
          <x:t xml:space="preserve">Tipo de prova</x:t>
        </x:is>
      </x:c>
      <x:c r="B11" s="13" t="inlineStr">
        <x:is>
          <x:t xml:space="preserve">Declaratória simples</x:t>
        </x:is>
      </x:c>
      <x:c r="D11" s="15">
        <x:f>IFERROR(VLOOKUP(B11,Apoio!$J$2:$K$5,2,FALSE),0)</x:f>
        <x:v>1</x:v>
      </x:c>
    </x:row>
    <x:row r="12">
      <x:c r="A12" s="12" t="inlineStr">
        <x:is>
          <x:t xml:space="preserve">Urgência</x:t>
        </x:is>
      </x:c>
      <x:c r="B12" s="13" t="inlineStr">
        <x:is>
          <x:t xml:space="preserve">Normal</x:t>
        </x:is>
      </x:c>
      <x:c r="D12" s="15">
        <x:f>0</x:f>
        <x:v>0</x:v>
      </x:c>
    </x:row>
    <x:row r="13">
      <x:c r="A13" s="12" t="inlineStr">
        <x:is>
          <x:t xml:space="preserve">Fiscalização / notificação ativa</x:t>
        </x:is>
      </x:c>
      <x:c r="B13" s="13" t="inlineStr">
        <x:is>
          <x:t xml:space="preserve">Não</x:t>
        </x:is>
      </x:c>
      <x:c r="D13" s="15">
        <x:f>0</x:f>
        <x:v>0</x:v>
      </x:c>
    </x:row>
    <x:row r="14">
      <x:c r="A14" s="16" t="inlineStr">
        <x:is>
          <x:t xml:space="preserve">Score total</x:t>
        </x:is>
      </x:c>
      <x:c r="B14">
        <x:f>SUM(D6:D13)</x:f>
        <x:v>7</x:v>
      </x:c>
      <x:c r="D14" s="26" t="inlineStr">
        <x:is>
          <x:t xml:space="preserve">Complexidade</x:t>
        </x:is>
      </x:c>
      <x:c r="E14" s="27" t="str">
        <x:f>VLOOKUP(B14,Apoio!$Y$2:$AA$6,2,TRUE)</x:f>
        <x:v>Baixa</x:v>
      </x:c>
    </x:row>
    <x:row r="15">
      <x:c r="D15" s="26" t="inlineStr">
        <x:is>
          <x:t xml:space="preserve">Mult. score</x:t>
        </x:is>
      </x:c>
      <x:c r="E15" s="28">
        <x:f>VLOOKUP(B14,Apoio!$Y$2:$AA$6,3,TRUE)</x:f>
        <x:v>0.85</x:v>
      </x:c>
    </x:row>
    <x:row r="16">
      <x:c r="D16" s="26" t="inlineStr">
        <x:is>
          <x:t xml:space="preserve">Mult. cadeias</x:t>
        </x:is>
      </x:c>
      <x:c r="E16" s="28">
        <x:f>VLOOKUP(B8,Apoio!$M$2:$N$5,2,FALSE)</x:f>
        <x:v>1</x:v>
      </x:c>
    </x:row>
    <x:row r="17">
      <x:c r="D17" s="26" t="inlineStr">
        <x:is>
          <x:t xml:space="preserve">Mult. abrangência</x:t>
        </x:is>
      </x:c>
      <x:c r="E17" s="28">
        <x:f>VLOOKUP(B9,Apoio!$P$2:$Q$5,2,FALSE)</x:f>
        <x:v>1</x:v>
      </x:c>
    </x:row>
    <x:row r="18">
      <x:c r="D18" s="26" t="inlineStr">
        <x:is>
          <x:t xml:space="preserve">Mult. urgência</x:t>
        </x:is>
      </x:c>
      <x:c r="E18" s="28">
        <x:f>VLOOKUP(B12,Apoio!$S$2:$T$5,2,FALSE)</x:f>
        <x:v>1</x:v>
      </x:c>
    </x:row>
    <x:row r="19">
      <x:c r="D19" s="26" t="inlineStr">
        <x:is>
          <x:t xml:space="preserve">Mult. fiscalização</x:t>
        </x:is>
      </x:c>
      <x:c r="E19" s="28">
        <x:f>VLOOKUP(B13,Apoio!$V$2:$W$3,2,FALSE)</x:f>
        <x:v>1</x:v>
      </x:c>
    </x:row>
    <x:row r="21">
      <x:c r="A21" s="25" t="inlineStr">
        <x:is>
          <x:t xml:space="preserve">Resultados</x:t>
        </x:is>
      </x:c>
      <x:c r="B21" s="24" t="n"/>
      <x:c r="C21" s="24" t="n"/>
      <x:c r="D21" s="24" t="n"/>
      <x:c r="E21" s="24" t="n"/>
      <x:c r="F21" s="24" t="n"/>
      <x:c r="G21" s="24" t="n"/>
      <x:c r="H21" s="24" t="n"/>
    </x:row>
    <x:row r="22">
      <x:c r="A22" s="7" t="inlineStr">
        <x:is>
          <x:t xml:space="preserve">Pacote</x:t>
        </x:is>
      </x:c>
      <x:c r="B22" s="7" t="inlineStr">
        <x:is>
          <x:t xml:space="preserve">Preço de referência</x:t>
        </x:is>
      </x:c>
      <x:c r="C22" s="7" t="inlineStr">
        <x:is>
          <x:t xml:space="preserve">Piso sugerido (-10%)</x:t>
        </x:is>
      </x:c>
      <x:c r="D22" s="7" t="inlineStr">
        <x:is>
          <x:t xml:space="preserve">Teto sugerido (+10%)</x:t>
        </x:is>
      </x:c>
    </x:row>
    <x:row r="23">
      <x:c r="A23" s="12" t="inlineStr">
        <x:is>
          <x:t xml:space="preserve">Diagnóstico</x:t>
        </x:is>
      </x:c>
      <x:c r="B23" s="32">
        <x:f>ROUNDUP((Apoio!$AD$2*$E$15*$E$16*$E$17*$E$18*$E$19)/50,0)*50</x:f>
        <x:v>1300</x:v>
      </x:c>
      <x:c r="C23" s="32">
        <x:f>ROUNDUP((B23*0.9)/50,0)*50</x:f>
        <x:v>1200</x:v>
      </x:c>
      <x:c r="D23" s="32">
        <x:f>ROUNDUP((B23*1.1)/50,0)*50</x:f>
        <x:v>1450</x:v>
      </x:c>
      <x:c r="F23" s="30" t="inlineStr">
        <x:is>
          <x:t xml:space="preserve">Leitura comercial</x:t>
        </x:is>
      </x:c>
    </x:row>
    <x:row r="24">
      <x:c r="A24" s="12" t="inlineStr">
        <x:is>
          <x:t xml:space="preserve">Regularização</x:t>
        </x:is>
      </x:c>
      <x:c r="B24" s="32">
        <x:f>ROUNDUP((Apoio!$AD$3*$E$15*$E$16*$E$17*$E$18*$E$19)/50,0)*50</x:f>
        <x:v>2750</x:v>
      </x:c>
      <x:c r="C24" s="32">
        <x:f>ROUNDUP((B24*0.9)/50,0)*50</x:f>
        <x:v>2500</x:v>
      </x:c>
      <x:c r="D24" s="32">
        <x:f>ROUNDUP((B24*1.1)/50,0)*50</x:f>
        <x:v>3050</x:v>
      </x:c>
      <x:c r="F24" s="20" t="str">
        <x:f>IF(B14&lt;8,"Caso enxuto: vender diagnóstico ou regularização simples.",IF(B14&lt;11,"Caso moderado: regularização padrão tende a ser suficiente.",IF(B14&lt;14,"Caso alto: regularização + estruturação, com cuidado para prova e dados.",IF(B14&lt;17,"Caso muito alto: avançado e proposta mais robusta.","Caso crítico: avançado + gestão mensal + escopo bem delimitado."))))</x:f>
        <x:v>Caso enxuto: vender diagnóstico ou regularização simples.</x:v>
      </x:c>
    </x:row>
    <x:row r="25" ht="18" customHeight="1">
      <x:c r="A25" s="12" t="inlineStr">
        <x:is>
          <x:t xml:space="preserve">Estruturacao avancada</x:t>
        </x:is>
      </x:c>
      <x:c r="B25" s="32">
        <x:f>ROUNDUP((Apoio!$AD$4*$E$15*$E$16*$E$17*$E$18*$E$19)/50,0)*50</x:f>
        <x:v>4600</x:v>
      </x:c>
      <x:c r="C25" s="32">
        <x:f>ROUNDUP((B25*0.9)/50,0)*50</x:f>
        <x:v>4150</x:v>
      </x:c>
      <x:c r="D25" s="32">
        <x:f>ROUNDUP((B25*1.1)/50,0)*50</x:f>
        <x:v>5100</x:v>
      </x:c>
    </x:row>
    <x:row r="26">
      <x:c r="A26" s="12" t="inlineStr">
        <x:is>
          <x:t xml:space="preserve">Gestão mensal</x:t>
        </x:is>
      </x:c>
      <x:c r="B26" s="32">
        <x:f>ROUNDUP((Apoio!$AD$5*$E$15*$E$16*$E$17*$E$18*$E$19)/50,0)*50</x:f>
        <x:v>850</x:v>
      </x:c>
      <x:c r="C26" s="32">
        <x:f>ROUNDUP((B26*0.9)/50,0)*50</x:f>
        <x:v>800</x:v>
      </x:c>
      <x:c r="D26" s="32">
        <x:f>ROUNDUP((B26*1.1)/50,0)*50</x:f>
        <x:v>950</x:v>
      </x:c>
    </x:row>
    <x:row r="27"/>
  </x:sheetData>
  <x:mergeCells>
    <x:mergeCell ref="F23:H23"/>
    <x:mergeCell ref="A3:H3"/>
    <x:mergeCell ref="A21:H21"/>
    <x:mergeCell ref="F24:H27"/>
    <x:mergeCell ref="A5:H5"/>
    <x:mergeCell ref="A1:H2"/>
  </x:mergeCells>
  <x:dataValidations count="8">
    <x:dataValidation type="list" allowBlank="0" showDropDown="0" showInputMessage="0" showErrorMessage="0" sqref="B6">
      <x:formula1>"Comerciante,Distribuidor,Importador,Fabricante / Marca própria,Misto / mais de um papel"</x:formula1>
    </x:dataValidation>
    <x:dataValidation type="list" allowBlank="0" showDropDown="0" showInputMessage="0" showErrorMessage="0" sqref="B7">
      <x:formula1>"Embalagens em geral,Cadeia específica art. 33,Multicadeia"</x:formula1>
    </x:dataValidation>
    <x:dataValidation type="list" allowBlank="0" showDropDown="0" showInputMessage="0" showErrorMessage="0" sqref="B8">
      <x:formula1>"1,2,3,4+"</x:formula1>
    </x:dataValidation>
    <x:dataValidation type="list" allowBlank="0" showDropDown="0" showInputMessage="0" showErrorMessage="0" sqref="B9">
      <x:formula1>"1 CNPJ / 1 unidade,2-3 unidades ou CNPJs,4-10 unidades ou CNPJs,11+ unidades ou CNPJs"</x:formula1>
    </x:dataValidation>
    <x:dataValidation type="list" allowBlank="0" showDropDown="0" showInputMessage="0" showErrorMessage="0" sqref="B10">
      <x:formula1>"Alta,Média,Baixa,Crítica"</x:formula1>
    </x:dataValidation>
    <x:dataValidation type="list" allowBlank="0" showDropDown="0" showInputMessage="0" showErrorMessage="0" sqref="B11">
      <x:formula1>"Declaratória simples,Documental consolidada,Rastreabilidade,Auditável / verificador"</x:formula1>
    </x:dataValidation>
    <x:dataValidation type="list" allowBlank="0" showDropDown="0" showInputMessage="0" showErrorMessage="0" sqref="B12">
      <x:formula1>"Normal,Até 15 dias,Até 7 dias,Imediato"</x:formula1>
    </x:dataValidation>
    <x:dataValidation type="list" allowBlank="0" showDropDown="0" showInputMessage="0" showErrorMessage="0" sqref="B13">
      <x:formula1>"Não,Sim"</x:formula1>
    </x:dataValidation>
  </x:dataValidations>
  <x:pageMargins left="0.7" right="0.7" top="0.75" bottom="0.75" header="0.3" footer="0.3"/>
  <x:legacyDrawing xmlns:r="http://schemas.openxmlformats.org/officeDocument/2006/relationships" r:id="Re31198601aa04dac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4" customWidth="1"/>
    <x:col min="3" max="3" width="18" customWidth="1"/>
    <x:col min="4" max="4" width="28" customWidth="1"/>
    <x:col min="5" max="5" width="34" customWidth="1"/>
    <x:col min="6" max="6" width="16" customWidth="1"/>
    <x:col min="7" max="7" width="16" customWidth="1"/>
    <x:col min="8" max="8" width="16" customWidth="1"/>
  </x:cols>
  <x:sheetData>
    <x:row r="1">
      <x:c r="A1" s="1" t="inlineStr">
        <x:is>
          <x:t xml:space="preserve">Premissas, justificativa e ajustes de posicionamento</x:t>
        </x:is>
      </x:c>
    </x:row>
    <x:row r="2"/>
    <x:row r="4">
      <x:c r="A4" s="25" t="inlineStr">
        <x:is>
          <x:t xml:space="preserve">Premissas-base de venda</x:t>
        </x:is>
      </x:c>
      <x:c r="B4" s="24" t="n"/>
      <x:c r="C4" s="24" t="n"/>
      <x:c r="D4" s="24" t="n"/>
      <x:c r="E4" s="24" t="n"/>
      <x:c r="F4" s="24" t="n"/>
      <x:c r="G4" s="24" t="n"/>
      <x:c r="H4" s="24" t="n"/>
    </x:row>
    <x:row r="5">
      <x:c r="A5" s="5" t="inlineStr">
        <x:is>
          <x:t xml:space="preserve">Pacote</x:t>
        </x:is>
      </x:c>
      <x:c r="B5" s="5" t="inlineStr">
        <x:is>
          <x:t xml:space="preserve">Horas estimadas</x:t>
        </x:is>
      </x:c>
      <x:c r="C5" s="5" t="inlineStr">
        <x:is>
          <x:t xml:space="preserve">Preço-base (editável)</x:t>
        </x:is>
      </x:c>
      <x:c r="D5" s="5" t="inlineStr">
        <x:is>
          <x:t xml:space="preserve">Objetivo comercial</x:t>
        </x:is>
      </x:c>
      <x:c r="E5" s="5" t="inlineStr">
        <x:is>
          <x:t xml:space="preserve">Quando usar</x:t>
        </x:is>
      </x:c>
    </x:row>
    <x:row r="6">
      <x:c r="A6" s="6" t="inlineStr">
        <x:is>
          <x:t xml:space="preserve">Diagnóstico</x:t>
        </x:is>
      </x:c>
      <x:c r="B6" s="21" t="n">
        <x:v>7</x:v>
      </x:c>
      <x:c r="C6" s="22" t="n">
        <x:v>1500</x:v>
      </x:c>
      <x:c r="D6" s="6" t="inlineStr">
        <x:is>
          <x:t xml:space="preserve">Abrir porta, enquadrar e transformar dúvida em decisão.</x:t>
        </x:is>
      </x:c>
      <x:c r="E6" s="6" t="inlineStr">
        <x:is>
          <x:t xml:space="preserve">Cliente ainda não sabe se está obrigado ou como está enquadrado.</x:t>
        </x:is>
      </x:c>
    </x:row>
    <x:row r="7">
      <x:c r="A7" s="6" t="inlineStr">
        <x:is>
          <x:t xml:space="preserve">Regularização</x:t>
        </x:is>
      </x:c>
      <x:c r="B7" s="21" t="n">
        <x:v>15</x:v>
      </x:c>
      <x:c r="C7" s="22" t="n">
        <x:v>3200</x:v>
      </x:c>
      <x:c r="D7" s="6" t="inlineStr">
        <x:is>
          <x:t xml:space="preserve">Resolver adesão, plano e base documental mínima.</x:t>
        </x:is>
      </x:c>
      <x:c r="E7" s="6" t="inlineStr">
        <x:is>
          <x:t xml:space="preserve">Cliente já precisa se regularizar.</x:t>
        </x:is>
      </x:c>
    </x:row>
    <x:row r="8">
      <x:c r="A8" s="6" t="inlineStr">
        <x:is>
          <x:t xml:space="preserve">Avançado</x:t>
        </x:is>
      </x:c>
      <x:c r="B8" s="21" t="n">
        <x:v>26</x:v>
      </x:c>
      <x:c r="C8" s="22" t="n">
        <x:v>5400</x:v>
      </x:c>
      <x:c r="D8" s="6" t="inlineStr">
        <x:is>
          <x:t xml:space="preserve">Estruturar prova, dados, multicadeia e multiunidade.</x:t>
        </x:is>
      </x:c>
      <x:c r="E8" s="6" t="inlineStr">
        <x:is>
          <x:t xml:space="preserve">Indústria, multicadeia, grupo empresarial, maior exigência de prova.</x:t>
        </x:is>
      </x:c>
    </x:row>
    <x:row r="9">
      <x:c r="A9" s="6" t="inlineStr">
        <x:is>
          <x:t xml:space="preserve">Gestão mensal</x:t>
        </x:is>
      </x:c>
      <x:c r="B9" s="21" t="n">
        <x:v>5</x:v>
      </x:c>
      <x:c r="C9" s="22" t="n">
        <x:v>950</x:v>
      </x:c>
      <x:c r="D9" s="6" t="inlineStr">
        <x:is>
          <x:t xml:space="preserve">Recorrência, governança e redução de risco.</x:t>
        </x:is>
      </x:c>
      <x:c r="E9" s="6" t="inlineStr">
        <x:is>
          <x:t xml:space="preserve">Cliente quer manutenção e previsibilidade.</x:t>
        </x:is>
      </x:c>
    </x:row>
    <x:row r="12">
      <x:c r="A12" s="25" t="inlineStr">
        <x:is>
          <x:t xml:space="preserve">Justificativa dos valores</x:t>
        </x:is>
      </x:c>
      <x:c r="B12" s="24" t="n"/>
      <x:c r="C12" s="24" t="n"/>
      <x:c r="D12" s="24" t="n"/>
      <x:c r="E12" s="24" t="n"/>
      <x:c r="F12" s="24" t="n"/>
      <x:c r="G12" s="24" t="n"/>
      <x:c r="H12" s="24" t="n"/>
    </x:row>
    <x:row r="13">
      <x:c r="A13" s="2" t="inlineStr">
        <x:is>
          <x:t xml:space="preserve">• Os preços-base foram construídos como referência de venda, e não como custo puro. Eles refletem combinação de hora técnica, coordenação, risco regulatório e valor percebido pelo cliente.</x:t>
        </x:is>
      </x:c>
    </x:row>
    <x:row r="14">
      <x:c r="A14" s="2" t="inlineStr">
        <x:is>
          <x:t xml:space="preserve">• Como pano de fundo, médias salariais publicadas em 2026 para consultor e engenheiro ambiental no Brasil ficaram em torno de R$ 6,1 mil/mês e R$ 9,7 mil/mês, respectivamente; a conversão para preço de consultoria exige overhead, imposto, estrutura, coordenação e margem.</x:t>
        </x:is>
      </x:c>
    </x:row>
    <x:row r="15">
      <x:c r="A15" s="2" t="inlineStr">
        <x:is>
          <x:t xml:space="preserve">• Também há referências públicas de consultoria no Brasil mostrando grande amplitude de valor-hora (de faixas mais básicas até níveis especializados acima de R$ 500/h); por isso o arquivo trabalha com preço-base + multiplicadores, e não com um preço fixo universal.</x:t>
        </x:is>
      </x:c>
    </x:row>
    <x:row r="18">
      <x:c r="A18" s="25" t="inlineStr">
        <x:is>
          <x:t xml:space="preserve">Multiplicadores recomendados</x:t>
        </x:is>
      </x:c>
      <x:c r="B18" s="24" t="n"/>
      <x:c r="C18" s="24" t="n"/>
      <x:c r="D18" s="24" t="n"/>
      <x:c r="E18" s="24" t="n"/>
      <x:c r="F18" s="24" t="n"/>
      <x:c r="G18" s="24" t="n"/>
      <x:c r="H18" s="24" t="n"/>
    </x:row>
    <x:row r="19">
      <x:c r="A19" s="5" t="inlineStr">
        <x:is>
          <x:t xml:space="preserve">Fator</x:t>
        </x:is>
      </x:c>
      <x:c r="B19" s="5" t="inlineStr">
        <x:is>
          <x:t xml:space="preserve">Faixas</x:t>
        </x:is>
      </x:c>
      <x:c r="C19" s="5" t="inlineStr">
        <x:is>
          <x:t xml:space="preserve">Leitura</x:t>
        </x:is>
      </x:c>
    </x:row>
    <x:row r="20">
      <x:c r="A20" s="6" t="inlineStr">
        <x:is>
          <x:t xml:space="preserve">Score</x:t>
        </x:is>
      </x:c>
      <x:c r="B20" s="6" t="inlineStr">
        <x:is>
          <x:t xml:space="preserve">0,85x a 1,60x</x:t>
        </x:is>
      </x:c>
      <x:c r="C20" s="6" t="inlineStr">
        <x:is>
          <x:t xml:space="preserve">Trata peso regulatório e dificuldade técnica.</x:t>
        </x:is>
      </x:c>
    </x:row>
    <x:row r="21">
      <x:c r="A21" s="6" t="inlineStr">
        <x:is>
          <x:t xml:space="preserve">Nº de cadeias</x:t>
        </x:is>
      </x:c>
      <x:c r="B21" s="6" t="inlineStr">
        <x:is>
          <x:t xml:space="preserve">1,00x a 1,45x</x:t>
        </x:is>
      </x:c>
      <x:c r="C21" s="6" t="inlineStr">
        <x:is>
          <x:t xml:space="preserve">Reflete modularidade do caso.</x:t>
        </x:is>
      </x:c>
    </x:row>
    <x:row r="22">
      <x:c r="A22" s="6" t="inlineStr">
        <x:is>
          <x:t xml:space="preserve">Abrangência</x:t>
        </x:is>
      </x:c>
      <x:c r="B22" s="6" t="inlineStr">
        <x:is>
          <x:t xml:space="preserve">1,00x a 1,40x</x:t>
        </x:is>
      </x:c>
      <x:c r="C22" s="6" t="inlineStr">
        <x:is>
          <x:t xml:space="preserve">Reflete mais unidades/CNPJs.</x:t>
        </x:is>
      </x:c>
    </x:row>
    <x:row r="23">
      <x:c r="A23" s="6" t="inlineStr">
        <x:is>
          <x:t xml:space="preserve">Urgência</x:t>
        </x:is>
      </x:c>
      <x:c r="B23" s="6" t="inlineStr">
        <x:is>
          <x:t xml:space="preserve">1,00x a 1,30x</x:t>
        </x:is>
      </x:c>
      <x:c r="C23" s="6" t="inlineStr">
        <x:is>
          <x:t xml:space="preserve">Protege prazo e alocação prioritária.</x:t>
        </x:is>
      </x:c>
    </x:row>
    <x:row r="24">
      <x:c r="A24" s="6" t="inlineStr">
        <x:is>
          <x:t xml:space="preserve">Fiscalização</x:t>
        </x:is>
      </x:c>
      <x:c r="B24" s="6" t="inlineStr">
        <x:is>
          <x:t xml:space="preserve">1,00x a 1,15x</x:t>
        </x:is>
      </x:c>
      <x:c r="C24" s="6" t="inlineStr">
        <x:is>
          <x:t xml:space="preserve">Protege revisão e responsabilidade.</x:t>
        </x:is>
      </x:c>
    </x:row>
    <x:row r="27">
      <x:c r="A27" s="25" t="inlineStr">
        <x:is>
          <x:t xml:space="preserve">Como reposicionar os preços sem quebrar o método</x:t>
        </x:is>
      </x:c>
      <x:c r="B27" s="24" t="n"/>
      <x:c r="C27" s="24" t="n"/>
      <x:c r="D27" s="24" t="n"/>
      <x:c r="E27" s="24" t="n"/>
      <x:c r="F27" s="24" t="n"/>
      <x:c r="G27" s="24" t="n"/>
      <x:c r="H27" s="24" t="n"/>
    </x:row>
    <x:row r="28">
      <x:c r="A28" s="2" t="inlineStr">
        <x:is>
          <x:t xml:space="preserve">• Posicionamento de entrada: reduza os preços-base em 10% a 15%, mas mantenha os multiplicadores.</x:t>
        </x:is>
      </x:c>
    </x:row>
    <x:row r="29">
      <x:c r="A29" s="2" t="inlineStr">
        <x:is>
          <x:t xml:space="preserve">• Posicionamento recomendado: use os preços-base da planilha e aplique apenas desconto estratégico pontual na proposta, nunca dentro da base.</x:t>
        </x:is>
      </x:c>
    </x:row>
    <x:row r="30">
      <x:c r="A30" s="2" t="inlineStr">
        <x:is>
          <x:t xml:space="preserve">• Posicionamento premium: aumente os preços-base em 15% a 25% e mantenha o método; o ganho vem da narrativa de conformidade, risco e governança.</x:t>
        </x:is>
      </x:c>
    </x:row>
  </x:sheetData>
  <x:mergeCells>
    <x:mergeCell ref="A12:H12"/>
    <x:mergeCell ref="A4:H4"/>
    <x:mergeCell ref="A18:H18"/>
    <x:mergeCell ref="A30:H30"/>
    <x:mergeCell ref="A15:H15"/>
    <x:mergeCell ref="A29:H29"/>
    <x:mergeCell ref="A28:H28"/>
    <x:mergeCell ref="A13:H13"/>
    <x:mergeCell ref="A14:H14"/>
    <x:mergeCell ref="A1:H2"/>
    <x:mergeCell ref="A27:H27"/>
  </x:mergeCells>
  <x:pageMargins left="0.7" right="0.7" top="0.75" bottom="0.75" header="0.3" footer="0.3"/>
  <x:legacyDrawing xmlns:r="http://schemas.openxmlformats.org/officeDocument/2006/relationships" r:id="Rc79c304262b243b9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24" customWidth="1"/>
    <x:col min="3" max="3" width="21" customWidth="1"/>
    <x:col min="4" max="4" width="21" customWidth="1"/>
    <x:col min="5" max="5" width="10" customWidth="1"/>
    <x:col min="6" max="6" width="21" customWidth="1"/>
    <x:col min="7" max="7" width="12" customWidth="1"/>
    <x:col min="8" max="8" width="22" customWidth="1"/>
    <x:col min="9" max="9" width="8" customWidth="1"/>
    <x:col min="10" max="10" width="12" customWidth="1"/>
    <x:col min="11" max="11" width="13" customWidth="1"/>
    <x:col min="12" max="12" width="13" customWidth="1"/>
    <x:col min="13" max="13" width="13" customWidth="1"/>
    <x:col min="14" max="14" width="34" customWidth="1"/>
  </x:cols>
  <x:sheetData>
    <x:row r="1">
      <x:c r="A1" s="1" t="inlineStr">
        <x:is>
          <x:t xml:space="preserve">Casos práticos — para transformar teoria em proposta</x:t>
        </x:is>
      </x:c>
    </x:row>
    <x:row r="2"/>
    <x:row r="4">
      <x:c r="A4" s="33" t="inlineStr">
        <x:is>
          <x:t xml:space="preserve">Exemplos ilustrativos usando o mesmo método do simulador, com urgência normal e sem fiscalização ativa.</x:t>
        </x:is>
      </x:c>
    </x:row>
    <x:row r="6">
      <x:c r="A6" s="5" t="inlineStr">
        <x:is>
          <x:t xml:space="preserve">Caso</x:t>
        </x:is>
      </x:c>
      <x:c r="B6" s="5" t="inlineStr">
        <x:is>
          <x:t xml:space="preserve">Perfil</x:t>
        </x:is>
      </x:c>
      <x:c r="C6" s="5" t="inlineStr">
        <x:is>
          <x:t xml:space="preserve">Papel</x:t>
        </x:is>
      </x:c>
      <x:c r="D6" s="5" t="inlineStr">
        <x:is>
          <x:t xml:space="preserve">Cadeia</x:t>
        </x:is>
      </x:c>
      <x:c r="E6" s="5" t="inlineStr">
        <x:is>
          <x:t xml:space="preserve">Nº cadeias</x:t>
        </x:is>
      </x:c>
      <x:c r="F6" s="5" t="inlineStr">
        <x:is>
          <x:t xml:space="preserve">Abrangência</x:t>
        </x:is>
      </x:c>
      <x:c r="G6" s="5" t="inlineStr">
        <x:is>
          <x:t xml:space="preserve">Maturidade</x:t>
        </x:is>
      </x:c>
      <x:c r="H6" s="5" t="inlineStr">
        <x:is>
          <x:t xml:space="preserve">Prova</x:t>
        </x:is>
      </x:c>
      <x:c r="I6" s="5" t="inlineStr">
        <x:is>
          <x:t xml:space="preserve">Score</x:t>
        </x:is>
      </x:c>
      <x:c r="J6" s="5" t="inlineStr">
        <x:is>
          <x:t xml:space="preserve">Complexidade</x:t>
        </x:is>
      </x:c>
      <x:c r="K6" s="5" t="inlineStr">
        <x:is>
          <x:t xml:space="preserve">Diagnóstico</x:t>
        </x:is>
      </x:c>
      <x:c r="L6" s="5" t="inlineStr">
        <x:is>
          <x:t xml:space="preserve">Regularização</x:t>
        </x:is>
      </x:c>
      <x:c r="M6" s="5" t="inlineStr">
        <x:is>
          <x:t xml:space="preserve">Avançado</x:t>
        </x:is>
      </x:c>
      <x:c r="N6" s="5" t="inlineStr">
        <x:is>
          <x:t xml:space="preserve">Mensagem de venda</x:t>
        </x:is>
      </x:c>
    </x:row>
    <x:row r="7">
      <x:c r="A7" s="6" t="inlineStr">
        <x:is>
          <x:t xml:space="preserve">1</x:t>
        </x:is>
      </x:c>
      <x:c r="B7" s="6" t="inlineStr">
        <x:is>
          <x:t xml:space="preserve">Farmácia de bairro</x:t>
        </x:is>
      </x:c>
      <x:c r="C7" s="6" t="inlineStr">
        <x:is>
          <x:t xml:space="preserve">Comerciante</x:t>
        </x:is>
      </x:c>
      <x:c r="D7" s="6" t="inlineStr">
        <x:is>
          <x:t xml:space="preserve">Embalagens em geral</x:t>
        </x:is>
      </x:c>
      <x:c r="E7" s="6" t="inlineStr">
        <x:is>
          <x:t xml:space="preserve">1</x:t>
        </x:is>
      </x:c>
      <x:c r="F7" s="6" t="inlineStr">
        <x:is>
          <x:t xml:space="preserve">1 CNPJ / 1 unidade</x:t>
        </x:is>
      </x:c>
      <x:c r="G7" s="6" t="inlineStr">
        <x:is>
          <x:t xml:space="preserve">Média</x:t>
        </x:is>
      </x:c>
      <x:c r="H7" s="6" t="inlineStr">
        <x:is>
          <x:t xml:space="preserve">Declaratória simples</x:t>
        </x:is>
      </x:c>
      <x:c r="I7" s="6">
        <x:f>IFERROR(VLOOKUP(C7,Apoio!$A$2:$B$6,2,FALSE),0)+IFERROR(VLOOKUP(D7,Apoio!$D$2:$E$4,2,FALSE),0)+IFERROR(VLOOKUP(F7,Apoio!$G$2:$H$5,2,FALSE),0)+IFERROR(VLOOKUP(G7,Apoio!$J$2:$K$5,2,FALSE),0)</x:f>
        <x:v>4</x:v>
      </x:c>
      <x:c r="J7" s="6" t="str">
        <x:f>VLOOKUP(I7,Apoio!$Y$2:$AA$6,2,TRUE)</x:f>
        <x:v>Baixa</x:v>
      </x:c>
      <x:c r="K7" s="11">
        <x:f>ROUNDUP((Apoio!$AD$2*VLOOKUP(I7,Apoio!$Y$2:$AA$6,3,TRUE)*VLOOKUP(E7,Apoio!$M$2:$N$5,2,FALSE)*VLOOKUP(F7,Apoio!$P$2:$Q$5,2,FALSE))/50,0)*50</x:f>
        <x:v>1300</x:v>
      </x:c>
      <x:c r="L7" s="11">
        <x:f>ROUNDUP((Apoio!$AD$3*VLOOKUP(I7,Apoio!$Y$2:$AA$6,3,TRUE)*VLOOKUP(E7,Apoio!$M$2:$N$5,2,FALSE)*VLOOKUP(F7,Apoio!$P$2:$Q$5,2,FALSE))/50,0)*50</x:f>
        <x:v>2750</x:v>
      </x:c>
      <x:c r="M7" s="11">
        <x:f>ROUNDUP((Apoio!$AD$4*VLOOKUP(I7,Apoio!$Y$2:$AA$6,3,TRUE)*VLOOKUP(E7,Apoio!$M$2:$N$5,2,FALSE)*VLOOKUP(F7,Apoio!$P$2:$Q$5,2,FALSE))/50,0)*50</x:f>
        <x:v>4600</x:v>
      </x:c>
      <x:c r="N7" s="6" t="inlineStr">
        <x:is>
          <x:t xml:space="preserve">Vender como entrada rápida para enquadrar e regularizar sem excesso de escopo.</x:t>
        </x:is>
      </x:c>
    </x:row>
    <x:row r="8">
      <x:c r="A8" s="6" t="inlineStr">
        <x:is>
          <x:t xml:space="preserve">2</x:t>
        </x:is>
      </x:c>
      <x:c r="B8" s="6" t="inlineStr">
        <x:is>
          <x:t xml:space="preserve">Supermercado local</x:t>
        </x:is>
      </x:c>
      <x:c r="C8" s="6" t="inlineStr">
        <x:is>
          <x:t xml:space="preserve">Comerciante</x:t>
        </x:is>
      </x:c>
      <x:c r="D8" s="6" t="inlineStr">
        <x:is>
          <x:t xml:space="preserve">Embalagens em geral</x:t>
        </x:is>
      </x:c>
      <x:c r="E8" s="6" t="inlineStr">
        <x:is>
          <x:t xml:space="preserve">1</x:t>
        </x:is>
      </x:c>
      <x:c r="F8" s="6" t="inlineStr">
        <x:is>
          <x:t xml:space="preserve">2-3 unidades ou CNPJs</x:t>
        </x:is>
      </x:c>
      <x:c r="G8" s="6" t="inlineStr">
        <x:is>
          <x:t xml:space="preserve">Baixa</x:t>
        </x:is>
      </x:c>
      <x:c r="H8" s="6" t="inlineStr">
        <x:is>
          <x:t xml:space="preserve">Documental consolidada</x:t>
        </x:is>
      </x:c>
      <x:c r="I8" s="6">
        <x:f>IFERROR(VLOOKUP(C8,Apoio!$A$2:$B$6,2,FALSE),0)+IFERROR(VLOOKUP(D8,Apoio!$D$2:$E$4,2,FALSE),0)+IFERROR(VLOOKUP(F8,Apoio!$G$2:$H$5,2,FALSE),0)+IFERROR(VLOOKUP(G8,Apoio!$J$2:$K$5,2,FALSE),0)</x:f>
        <x:v>4</x:v>
      </x:c>
      <x:c r="J8" s="6" t="str">
        <x:f>VLOOKUP(I8,Apoio!$Y$2:$AA$6,2,TRUE)</x:f>
        <x:v>Baixa</x:v>
      </x:c>
      <x:c r="K8" s="11">
        <x:f>ROUNDUP((Apoio!$AD$2*VLOOKUP(I8,Apoio!$Y$2:$AA$6,3,TRUE)*VLOOKUP(E8,Apoio!$M$2:$N$5,2,FALSE)*VLOOKUP(F8,Apoio!$P$2:$Q$5,2,FALSE))/50,0)*50</x:f>
        <x:v>1450</x:v>
      </x:c>
      <x:c r="L8" s="11">
        <x:f>ROUNDUP((Apoio!$AD$3*VLOOKUP(I8,Apoio!$Y$2:$AA$6,3,TRUE)*VLOOKUP(E8,Apoio!$M$2:$N$5,2,FALSE)*VLOOKUP(F8,Apoio!$P$2:$Q$5,2,FALSE))/50,0)*50</x:f>
        <x:v>3000</x:v>
      </x:c>
      <x:c r="M8" s="11">
        <x:f>ROUNDUP((Apoio!$AD$4*VLOOKUP(I8,Apoio!$Y$2:$AA$6,3,TRUE)*VLOOKUP(E8,Apoio!$M$2:$N$5,2,FALSE)*VLOOKUP(F8,Apoio!$P$2:$Q$5,2,FALSE))/50,0)*50</x:f>
        <x:v>5050</x:v>
      </x:c>
      <x:c r="N8" s="6" t="inlineStr">
        <x:is>
          <x:t xml:space="preserve">Explicar que volume e documentos elevam o esforço, ainda que a cadeia seja simples.</x:t>
        </x:is>
      </x:c>
    </x:row>
    <x:row r="9">
      <x:c r="A9" s="6" t="inlineStr">
        <x:is>
          <x:t xml:space="preserve">3</x:t>
        </x:is>
      </x:c>
      <x:c r="B9" s="6" t="inlineStr">
        <x:is>
          <x:t xml:space="preserve">Indústria de alimentos</x:t>
        </x:is>
      </x:c>
      <x:c r="C9" s="6" t="inlineStr">
        <x:is>
          <x:t xml:space="preserve">Fabricante / Marca própria</x:t>
        </x:is>
      </x:c>
      <x:c r="D9" s="6" t="inlineStr">
        <x:is>
          <x:t xml:space="preserve">Embalagens em geral</x:t>
        </x:is>
      </x:c>
      <x:c r="E9" s="6" t="inlineStr">
        <x:is>
          <x:t xml:space="preserve">1</x:t>
        </x:is>
      </x:c>
      <x:c r="F9" s="6" t="inlineStr">
        <x:is>
          <x:t xml:space="preserve">1 CNPJ / 1 unidade</x:t>
        </x:is>
      </x:c>
      <x:c r="G9" s="6" t="inlineStr">
        <x:is>
          <x:t xml:space="preserve">Média</x:t>
        </x:is>
      </x:c>
      <x:c r="H9" s="6" t="inlineStr">
        <x:is>
          <x:t xml:space="preserve">Documental consolidada</x:t>
        </x:is>
      </x:c>
      <x:c r="I9" s="6">
        <x:f>IFERROR(VLOOKUP(C9,Apoio!$A$2:$B$6,2,FALSE),0)+IFERROR(VLOOKUP(D9,Apoio!$D$2:$E$4,2,FALSE),0)+IFERROR(VLOOKUP(F9,Apoio!$G$2:$H$5,2,FALSE),0)+IFERROR(VLOOKUP(G9,Apoio!$J$2:$K$5,2,FALSE),0)</x:f>
        <x:v>7</x:v>
      </x:c>
      <x:c r="J9" s="6" t="str">
        <x:f>VLOOKUP(I9,Apoio!$Y$2:$AA$6,2,TRUE)</x:f>
        <x:v>Baixa</x:v>
      </x:c>
      <x:c r="K9" s="11">
        <x:f>ROUNDUP((Apoio!$AD$2*VLOOKUP(I9,Apoio!$Y$2:$AA$6,3,TRUE)*VLOOKUP(E9,Apoio!$M$2:$N$5,2,FALSE)*VLOOKUP(F9,Apoio!$P$2:$Q$5,2,FALSE))/50,0)*50</x:f>
        <x:v>1300</x:v>
      </x:c>
      <x:c r="L9" s="11">
        <x:f>ROUNDUP((Apoio!$AD$3*VLOOKUP(I9,Apoio!$Y$2:$AA$6,3,TRUE)*VLOOKUP(E9,Apoio!$M$2:$N$5,2,FALSE)*VLOOKUP(F9,Apoio!$P$2:$Q$5,2,FALSE))/50,0)*50</x:f>
        <x:v>2750</x:v>
      </x:c>
      <x:c r="M9" s="11">
        <x:f>ROUNDUP((Apoio!$AD$4*VLOOKUP(I9,Apoio!$Y$2:$AA$6,3,TRUE)*VLOOKUP(E9,Apoio!$M$2:$N$5,2,FALSE)*VLOOKUP(F9,Apoio!$P$2:$Q$5,2,FALSE))/50,0)*50</x:f>
        <x:v>4600</x:v>
      </x:c>
      <x:c r="N9" s="6" t="inlineStr">
        <x:is>
          <x:t xml:space="preserve">Posicionar o papel de fabricante como fator central do preço.</x:t>
        </x:is>
      </x:c>
    </x:row>
    <x:row r="10">
      <x:c r="A10" s="6" t="inlineStr">
        <x:is>
          <x:t xml:space="preserve">4</x:t>
        </x:is>
      </x:c>
      <x:c r="B10" s="6" t="inlineStr">
        <x:is>
          <x:t xml:space="preserve">Posto com loja e lubrificantes</x:t>
        </x:is>
      </x:c>
      <x:c r="C10" s="6" t="inlineStr">
        <x:is>
          <x:t xml:space="preserve">Comerciante</x:t>
        </x:is>
      </x:c>
      <x:c r="D10" s="6" t="inlineStr">
        <x:is>
          <x:t xml:space="preserve">Multicadeia</x:t>
        </x:is>
      </x:c>
      <x:c r="E10" s="6" t="inlineStr">
        <x:is>
          <x:t xml:space="preserve">2</x:t>
        </x:is>
      </x:c>
      <x:c r="F10" s="6" t="inlineStr">
        <x:is>
          <x:t xml:space="preserve">1 CNPJ / 1 unidade</x:t>
        </x:is>
      </x:c>
      <x:c r="G10" s="6" t="inlineStr">
        <x:is>
          <x:t xml:space="preserve">Baixa</x:t>
        </x:is>
      </x:c>
      <x:c r="H10" s="6" t="inlineStr">
        <x:is>
          <x:t xml:space="preserve">Auditável / verificador</x:t>
        </x:is>
      </x:c>
      <x:c r="I10" s="6">
        <x:f>IFERROR(VLOOKUP(C10,Apoio!$A$2:$B$6,2,FALSE),0)+IFERROR(VLOOKUP(D10,Apoio!$D$2:$E$4,2,FALSE),0)+IFERROR(VLOOKUP(F10,Apoio!$G$2:$H$5,2,FALSE),0)+IFERROR(VLOOKUP(G10,Apoio!$J$2:$K$5,2,FALSE),0)</x:f>
        <x:v>7</x:v>
      </x:c>
      <x:c r="J10" s="6" t="str">
        <x:f>VLOOKUP(I10,Apoio!$Y$2:$AA$6,2,TRUE)</x:f>
        <x:v>Baixa</x:v>
      </x:c>
      <x:c r="K10" s="11">
        <x:f>ROUNDUP((Apoio!$AD$2*VLOOKUP(I10,Apoio!$Y$2:$AA$6,3,TRUE)*VLOOKUP(E10,Apoio!$M$2:$N$5,2,FALSE)*VLOOKUP(F10,Apoio!$P$2:$Q$5,2,FALSE))/50,0)*50</x:f>
        <x:v>1500</x:v>
      </x:c>
      <x:c r="L10" s="11">
        <x:f>ROUNDUP((Apoio!$AD$3*VLOOKUP(I10,Apoio!$Y$2:$AA$6,3,TRUE)*VLOOKUP(E10,Apoio!$M$2:$N$5,2,FALSE)*VLOOKUP(F10,Apoio!$P$2:$Q$5,2,FALSE))/50,0)*50</x:f>
        <x:v>3150</x:v>
      </x:c>
      <x:c r="M10" s="11">
        <x:f>ROUNDUP((Apoio!$AD$4*VLOOKUP(I10,Apoio!$Y$2:$AA$6,3,TRUE)*VLOOKUP(E10,Apoio!$M$2:$N$5,2,FALSE)*VLOOKUP(F10,Apoio!$P$2:$Q$5,2,FALSE))/50,0)*50</x:f>
        <x:v>5300</x:v>
      </x:c>
      <x:c r="N10" s="6" t="inlineStr">
        <x:is>
          <x:t xml:space="preserve">Mostrar que um único CNPJ pode ter mais de um módulo de obrigação.</x:t>
        </x:is>
      </x:c>
    </x:row>
    <x:row r="11">
      <x:c r="A11" s="6" t="inlineStr">
        <x:is>
          <x:t xml:space="preserve">5</x:t>
        </x:is>
      </x:c>
      <x:c r="B11" s="6" t="inlineStr">
        <x:is>
          <x:t xml:space="preserve">Revenda agro</x:t>
        </x:is>
      </x:c>
      <x:c r="C11" s="6" t="inlineStr">
        <x:is>
          <x:t xml:space="preserve">Distribuidor</x:t>
        </x:is>
      </x:c>
      <x:c r="D11" s="6" t="inlineStr">
        <x:is>
          <x:t xml:space="preserve">Cadeia específica art. 33</x:t>
        </x:is>
      </x:c>
      <x:c r="E11" s="6" t="inlineStr">
        <x:is>
          <x:t xml:space="preserve">1</x:t>
        </x:is>
      </x:c>
      <x:c r="F11" s="6" t="inlineStr">
        <x:is>
          <x:t xml:space="preserve">1 CNPJ / 1 unidade</x:t>
        </x:is>
      </x:c>
      <x:c r="G11" s="6" t="inlineStr">
        <x:is>
          <x:t xml:space="preserve">Baixa</x:t>
        </x:is>
      </x:c>
      <x:c r="H11" s="6" t="inlineStr">
        <x:is>
          <x:t xml:space="preserve">Auditável / verificador</x:t>
        </x:is>
      </x:c>
      <x:c r="I11" s="6">
        <x:f>IFERROR(VLOOKUP(C11,Apoio!$A$2:$B$6,2,FALSE),0)+IFERROR(VLOOKUP(D11,Apoio!$D$2:$E$4,2,FALSE),0)+IFERROR(VLOOKUP(F11,Apoio!$G$2:$H$5,2,FALSE),0)+IFERROR(VLOOKUP(G11,Apoio!$J$2:$K$5,2,FALSE),0)</x:f>
        <x:v>7</x:v>
      </x:c>
      <x:c r="J11" s="6" t="str">
        <x:f>VLOOKUP(I11,Apoio!$Y$2:$AA$6,2,TRUE)</x:f>
        <x:v>Baixa</x:v>
      </x:c>
      <x:c r="K11" s="11">
        <x:f>ROUNDUP((Apoio!$AD$2*VLOOKUP(I11,Apoio!$Y$2:$AA$6,3,TRUE)*VLOOKUP(E11,Apoio!$M$2:$N$5,2,FALSE)*VLOOKUP(F11,Apoio!$P$2:$Q$5,2,FALSE))/50,0)*50</x:f>
        <x:v>1300</x:v>
      </x:c>
      <x:c r="L11" s="11">
        <x:f>ROUNDUP((Apoio!$AD$3*VLOOKUP(I11,Apoio!$Y$2:$AA$6,3,TRUE)*VLOOKUP(E11,Apoio!$M$2:$N$5,2,FALSE)*VLOOKUP(F11,Apoio!$P$2:$Q$5,2,FALSE))/50,0)*50</x:f>
        <x:v>2750</x:v>
      </x:c>
      <x:c r="M11" s="11">
        <x:f>ROUNDUP((Apoio!$AD$4*VLOOKUP(I11,Apoio!$Y$2:$AA$6,3,TRUE)*VLOOKUP(E11,Apoio!$M$2:$N$5,2,FALSE)*VLOOKUP(F11,Apoio!$P$2:$Q$5,2,FALSE))/50,0)*50</x:f>
        <x:v>4600</x:v>
      </x:c>
      <x:c r="N11" s="6" t="inlineStr">
        <x:is>
          <x:t xml:space="preserve">Deixar explícito que cadeia específica não é pacote de cadastro simples.</x:t>
        </x:is>
      </x:c>
    </x:row>
    <x:row r="12">
      <x:c r="A12" s="6" t="inlineStr">
        <x:is>
          <x:t xml:space="preserve">6</x:t>
        </x:is>
      </x:c>
      <x:c r="B12" s="6" t="inlineStr">
        <x:is>
          <x:t xml:space="preserve">Grupo empresarial</x:t>
        </x:is>
      </x:c>
      <x:c r="C12" s="6" t="inlineStr">
        <x:is>
          <x:t xml:space="preserve">Misto / mais de um papel</x:t>
        </x:is>
      </x:c>
      <x:c r="D12" s="6" t="inlineStr">
        <x:is>
          <x:t xml:space="preserve">Multicadeia</x:t>
        </x:is>
      </x:c>
      <x:c r="E12" s="6" t="inlineStr">
        <x:is>
          <x:t xml:space="preserve">3</x:t>
        </x:is>
      </x:c>
      <x:c r="F12" s="6" t="inlineStr">
        <x:is>
          <x:t xml:space="preserve">11+ unidades ou CNPJs</x:t>
        </x:is>
      </x:c>
      <x:c r="G12" s="6" t="inlineStr">
        <x:is>
          <x:t xml:space="preserve">Crítica</x:t>
        </x:is>
      </x:c>
      <x:c r="H12" s="6" t="inlineStr">
        <x:is>
          <x:t xml:space="preserve">Auditável / verificador</x:t>
        </x:is>
      </x:c>
      <x:c r="I12" s="6">
        <x:f>IFERROR(VLOOKUP(C12,Apoio!$A$2:$B$6,2,FALSE),0)+IFERROR(VLOOKUP(D12,Apoio!$D$2:$E$4,2,FALSE),0)+IFERROR(VLOOKUP(F12,Apoio!$G$2:$H$5,2,FALSE),0)+IFERROR(VLOOKUP(G12,Apoio!$J$2:$K$5,2,FALSE),0)</x:f>
        <x:v>10</x:v>
      </x:c>
      <x:c r="J12" s="6" t="str">
        <x:f>VLOOKUP(I12,Apoio!$Y$2:$AA$6,2,TRUE)</x:f>
        <x:v>Moderada</x:v>
      </x:c>
      <x:c r="K12" s="11">
        <x:f>ROUNDUP((Apoio!$AD$2*VLOOKUP(I12,Apoio!$Y$2:$AA$6,3,TRUE)*VLOOKUP(E12,Apoio!$M$2:$N$5,2,FALSE)*VLOOKUP(F12,Apoio!$P$2:$Q$5,2,FALSE))/50,0)*50</x:f>
        <x:v>2750</x:v>
      </x:c>
      <x:c r="L12" s="11">
        <x:f>ROUNDUP((Apoio!$AD$3*VLOOKUP(I12,Apoio!$Y$2:$AA$6,3,TRUE)*VLOOKUP(E12,Apoio!$M$2:$N$5,2,FALSE)*VLOOKUP(F12,Apoio!$P$2:$Q$5,2,FALSE))/50,0)*50</x:f>
        <x:v>5850</x:v>
      </x:c>
      <x:c r="M12" s="11">
        <x:f>ROUNDUP((Apoio!$AD$4*VLOOKUP(I12,Apoio!$Y$2:$AA$6,3,TRUE)*VLOOKUP(E12,Apoio!$M$2:$N$5,2,FALSE)*VLOOKUP(F12,Apoio!$P$2:$Q$5,2,FALSE))/50,0)*50</x:f>
        <x:v>9850</x:v>
      </x:c>
      <x:c r="N12" s="6" t="inlineStr">
        <x:is>
          <x:t xml:space="preserve">Sugerir avançado + gestão mensal + escopo delimitado por aditivo.</x:t>
        </x:is>
      </x:c>
    </x:row>
  </x:sheetData>
  <x:mergeCells>
    <x:mergeCell ref="A1:N2"/>
    <x:mergeCell ref="A4:N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2" customWidth="1"/>
    <x:col min="2" max="2" width="58" customWidth="1"/>
    <x:col min="3" max="3" width="30" customWidth="1"/>
    <x:col min="4" max="4" width="34" customWidth="1"/>
    <x:col min="5" max="5" width="14" customWidth="1"/>
  </x:cols>
  <x:sheetData>
    <x:row r="1">
      <x:c r="A1" s="1" t="inlineStr">
        <x:is>
          <x:t xml:space="preserve">Fontes e notas de uso</x:t>
        </x:is>
      </x:c>
    </x:row>
    <x:row r="2"/>
    <x:row r="4">
      <x:c r="A4" s="5" t="inlineStr">
        <x:is>
          <x:t xml:space="preserve">Tema</x:t>
        </x:is>
      </x:c>
      <x:c r="B4" s="5" t="inlineStr">
        <x:is>
          <x:t xml:space="preserve">Fonte / URL</x:t>
        </x:is>
      </x:c>
      <x:c r="C4" s="5" t="inlineStr">
        <x:is>
          <x:t xml:space="preserve">Ponto usado</x:t>
        </x:is>
      </x:c>
      <x:c r="D4" s="5" t="inlineStr">
        <x:is>
          <x:t xml:space="preserve">Observação</x:t>
        </x:is>
      </x:c>
      <x:c r="E4" s="5" t="inlineStr">
        <x:is>
          <x:t xml:space="preserve">Tipo</x:t>
        </x:is>
      </x:c>
    </x:row>
    <x:row r="5">
      <x:c r="A5" s="6" t="inlineStr">
        <x:is>
          <x:t xml:space="preserve">Goiás — página oficial</x:t>
        </x:is>
      </x:c>
      <x:c r="B5" s="23" t="inlineStr">
        <x:is>
          <x:t xml:space="preserve">https://goias.gov.br/meioambiente/logistica-reversa/</x:t>
        </x:is>
      </x:c>
      <x:c r="C5" s="6" t="inlineStr">
        <x:is>
          <x:t xml:space="preserve">Monitoramento contínuo, superação da meta de 22%, estrutura do sistema estadual e Comitê de Logística Reversa.</x:t>
        </x:is>
      </x:c>
      <x:c r="D5" s="6" t="inlineStr">
        <x:is>
          <x:t xml:space="preserve">Base estadual oficial para embalagens em geral.</x:t>
        </x:is>
      </x:c>
      <x:c r="E5" s="6" t="inlineStr">
        <x:is>
          <x:t xml:space="preserve">Oficial</x:t>
        </x:is>
      </x:c>
    </x:row>
    <x:row r="6">
      <x:c r="A6" s="6" t="inlineStr">
        <x:is>
          <x:t xml:space="preserve">Goiás — notícia oficial 2024</x:t>
        </x:is>
      </x:c>
      <x:c r="B6" s="23" t="inlineStr">
        <x:is>
          <x:t xml:space="preserve">https://goias.gov.br/meioambiente/logistica-reversa-prazo-para-cadastro-de-empresas-que-geram-embalagens-reciclaveis-esta-aberto/</x:t>
        </x:is>
      </x:c>
      <x:c r="C6" s="6" t="inlineStr">
        <x:is>
          <x:t xml:space="preserve">Cadastro obrigatório; meta de 30% no segundo ciclo; exigência de plano de logística reversa.</x:t>
        </x:is>
      </x:c>
      <x:c r="D6" s="6" t="inlineStr">
        <x:is>
          <x:t xml:space="preserve">Usado para leitura de esforço e narrativa comercial.</x:t>
        </x:is>
      </x:c>
      <x:c r="E6" s="6" t="inlineStr">
        <x:is>
          <x:t xml:space="preserve">Oficial</x:t>
        </x:is>
      </x:c>
    </x:row>
    <x:row r="7">
      <x:c r="A7" s="6" t="inlineStr">
        <x:is>
          <x:t xml:space="preserve">Goiás — Resolução SEMAD 1/2026</x:t>
        </x:is>
      </x:c>
      <x:c r="B7" s="23" t="inlineStr">
        <x:is>
          <x:t xml:space="preserve">https://www.legisweb.com.br/legislacao/?id=489143</x:t>
        </x:is>
      </x:c>
      <x:c r="C7" s="6" t="inlineStr">
        <x:is>
          <x:t xml:space="preserve">Campanha orientativa 2026, regularização, metas, plano e adesão.</x:t>
        </x:is>
      </x:c>
      <x:c r="D7" s="6" t="inlineStr">
        <x:is>
          <x:t xml:space="preserve">Usado para reforçar necessidade de regularização contínua.</x:t>
        </x:is>
      </x:c>
      <x:c r="E7" s="6" t="inlineStr">
        <x:is>
          <x:t xml:space="preserve">Reprodução de norma</x:t>
        </x:is>
      </x:c>
    </x:row>
    <x:row r="8">
      <x:c r="A8" s="6" t="inlineStr">
        <x:is>
          <x:t xml:space="preserve">SINIR — embalagens em geral</x:t>
        </x:is>
      </x:c>
      <x:c r="B8" s="23" t="inlineStr">
        <x:is>
          <x:t xml:space="preserve">https://sinir.gov.br/perfis/logistica-reversa/logistica-reversa/embalagens-em-geral/</x:t>
        </x:is>
      </x:c>
      <x:c r="C8" s="6" t="inlineStr">
        <x:is>
          <x:t xml:space="preserve">Acordo setorial, Decreto 11.413/2023, Portarias 1.011/2024, 1.102/2024 e 1.117/2024.</x:t>
        </x:is>
      </x:c>
      <x:c r="D8" s="6" t="inlineStr">
        <x:is>
          <x:t xml:space="preserve">Base federal de operacionalização.</x:t>
        </x:is>
      </x:c>
      <x:c r="E8" s="6" t="inlineStr">
        <x:is>
          <x:t xml:space="preserve">Oficial</x:t>
        </x:is>
      </x:c>
    </x:row>
    <x:row r="9">
      <x:c r="A9" s="6" t="inlineStr">
        <x:is>
          <x:t xml:space="preserve">DOU — Portaria 1.011/2024</x:t>
        </x:is>
      </x:c>
      <x:c r="B9" s="23" t="inlineStr">
        <x:is>
          <x:t xml:space="preserve">https://www.in.gov.br/web/dou/-/portaria-gm/mma-n-1.011-de-11-de-marco-de-2024-547763337</x:t>
        </x:is>
      </x:c>
      <x:c r="C9" s="6" t="inlineStr">
        <x:is>
          <x:t xml:space="preserve">Modelo padrão do relatório anual de resultados.</x:t>
        </x:is>
      </x:c>
      <x:c r="D9" s="6" t="inlineStr">
        <x:is>
          <x:t xml:space="preserve">Usado na leitura de prova e reporte.</x:t>
        </x:is>
      </x:c>
      <x:c r="E9" s="6" t="inlineStr">
        <x:is>
          <x:t xml:space="preserve">Oficial</x:t>
        </x:is>
      </x:c>
    </x:row>
    <x:row r="10">
      <x:c r="A10" s="6" t="inlineStr">
        <x:is>
          <x:t xml:space="preserve">DOU — Portaria 1.117/2024</x:t>
        </x:is>
      </x:c>
      <x:c r="B10" s="23" t="inlineStr">
        <x:is>
          <x:t xml:space="preserve">https://www.in.gov.br/web/dou/-/portaria-gm/mma-n-1.117-de-1-de-agosto-de-2024-575976215</x:t>
        </x:is>
      </x:c>
      <x:c r="C10" s="6" t="inlineStr">
        <x:is>
          <x:t xml:space="preserve">Critérios de habilitação dos verificadores de resultado.</x:t>
        </x:is>
      </x:c>
      <x:c r="D10" s="6" t="inlineStr">
        <x:is>
          <x:t xml:space="preserve">Usado na leitura de casos auditáveis.</x:t>
        </x:is>
      </x:c>
      <x:c r="E10" s="6" t="inlineStr">
        <x:is>
          <x:t xml:space="preserve">Oficial</x:t>
        </x:is>
      </x:c>
    </x:row>
    <x:row r="11">
      <x:c r="A11" s="6" t="inlineStr">
        <x:is>
          <x:t xml:space="preserve">PNRS / Decreto 10.936</x:t>
        </x:is>
      </x:c>
      <x:c r="B11" s="23" t="inlineStr">
        <x:is>
          <x:t xml:space="preserve">https://www.planalto.gov.br/ccivil_03/_ato2019-2022/2022/decreto/d10936.htm</x:t>
        </x:is>
      </x:c>
      <x:c r="C11" s="6" t="inlineStr">
        <x:is>
          <x:t xml:space="preserve">Base federal da responsabilidade compartilhada e logística reversa.</x:t>
        </x:is>
      </x:c>
      <x:c r="D11" s="6" t="inlineStr">
        <x:is>
          <x:t xml:space="preserve">O acesso ao HTML pode variar; usar também a página do SINIR como referência auxiliar.</x:t>
        </x:is>
      </x:c>
      <x:c r="E11" s="6" t="inlineStr">
        <x:is>
          <x:t xml:space="preserve">Oficial</x:t>
        </x:is>
      </x:c>
    </x:row>
    <x:row r="12">
      <x:c r="A12" s="6" t="inlineStr">
        <x:is>
          <x:t xml:space="preserve">Mercado — consultor</x:t>
        </x:is>
      </x:c>
      <x:c r="B12" s="23" t="inlineStr">
        <x:is>
          <x:t xml:space="preserve">https://www.salario.com.br/profissao/consultor-cbo-241040/</x:t>
        </x:is>
      </x:c>
      <x:c r="C12" s="6" t="inlineStr">
        <x:is>
          <x:t xml:space="preserve">Remuneração média de consultor em 2026.</x:t>
        </x:is>
      </x:c>
      <x:c r="D12" s="6" t="inlineStr">
        <x:is>
          <x:t xml:space="preserve">Só como pano de fundo; não é preço de mercado obrigatório.</x:t>
        </x:is>
      </x:c>
      <x:c r="E12" s="6" t="inlineStr">
        <x:is>
          <x:t xml:space="preserve">Mercado</x:t>
        </x:is>
      </x:c>
    </x:row>
    <x:row r="13">
      <x:c r="A13" s="6" t="inlineStr">
        <x:is>
          <x:t xml:space="preserve">Mercado — engenheiro ambiental</x:t>
        </x:is>
      </x:c>
      <x:c r="B13" s="23" t="inlineStr">
        <x:is>
          <x:t xml:space="preserve">https://www.salario.com.br/profissao/engenheiro-ambiental-cbo-214005/</x:t>
        </x:is>
      </x:c>
      <x:c r="C13" s="6" t="inlineStr">
        <x:is>
          <x:t xml:space="preserve">Remuneração média de engenheiro ambiental em 2026.</x:t>
        </x:is>
      </x:c>
      <x:c r="D13" s="6" t="inlineStr">
        <x:is>
          <x:t xml:space="preserve">Só como pano de fundo; não é preço de mercado obrigatório.</x:t>
        </x:is>
      </x:c>
      <x:c r="E13" s="6" t="inlineStr">
        <x:is>
          <x:t xml:space="preserve">Mercado</x:t>
        </x:is>
      </x:c>
    </x:row>
    <x:row r="14">
      <x:c r="A14" s="6" t="inlineStr">
        <x:is>
          <x:t xml:space="preserve">Mercado — valor-hora de consultoria</x:t>
        </x:is>
      </x:c>
      <x:c r="B14" s="23" t="inlineStr">
        <x:is>
          <x:t xml:space="preserve">https://www.robertodiasduarte.com.br/analise-do-valor-hora-em-consultorias-no-brasil-2024-2025-2/</x:t>
        </x:is>
      </x:c>
      <x:c r="C14" s="6" t="inlineStr">
        <x:is>
          <x:t xml:space="preserve">Amplitude de valor-hora de consultoria no Brasil.</x:t>
        </x:is>
      </x:c>
      <x:c r="D14" s="6" t="inlineStr">
        <x:is>
          <x:t xml:space="preserve">Usado para justificar uso de preço-base + multiplicadores.</x:t>
        </x:is>
      </x:c>
      <x:c r="E14" s="6" t="inlineStr">
        <x:is>
          <x:t xml:space="preserve">Mercado / artigo</x:t>
        </x:is>
      </x:c>
    </x:row>
  </x:sheetData>
  <x:mergeCells>
    <x:mergeCell ref="A1:E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sheetData>
    <x:row r="1">
      <x:c r="A1" t="inlineStr">
        <x:is>
          <x:t xml:space="preserve">Papel na cadeia</x:t>
        </x:is>
      </x:c>
      <x:c r="B1" t="inlineStr">
        <x:is>
          <x:t xml:space="preserve">Pontos</x:t>
        </x:is>
      </x:c>
      <x:c r="C1" t="inlineStr">
        <x:is>
          <x:t xml:space="preserve"/>
        </x:is>
      </x:c>
      <x:c r="D1" t="inlineStr">
        <x:is>
          <x:t xml:space="preserve">Cadeia predominante</x:t>
        </x:is>
      </x:c>
      <x:c r="E1" t="inlineStr">
        <x:is>
          <x:t xml:space="preserve">Pontos</x:t>
        </x:is>
      </x:c>
      <x:c r="F1" t="inlineStr">
        <x:is>
          <x:t xml:space="preserve"/>
        </x:is>
      </x:c>
      <x:c r="G1" t="inlineStr">
        <x:is>
          <x:t xml:space="preserve">Maturidade documental</x:t>
        </x:is>
      </x:c>
      <x:c r="H1" t="inlineStr">
        <x:is>
          <x:t xml:space="preserve">Pontos</x:t>
        </x:is>
      </x:c>
      <x:c r="I1" t="inlineStr">
        <x:is>
          <x:t xml:space="preserve"/>
        </x:is>
      </x:c>
      <x:c r="J1" t="inlineStr">
        <x:is>
          <x:t xml:space="preserve">Tipo de prova</x:t>
        </x:is>
      </x:c>
      <x:c r="K1" t="inlineStr">
        <x:is>
          <x:t xml:space="preserve">Pontos</x:t>
        </x:is>
      </x:c>
      <x:c r="L1" t="inlineStr">
        <x:is>
          <x:t xml:space="preserve"/>
        </x:is>
      </x:c>
      <x:c r="M1" t="inlineStr">
        <x:is>
          <x:t xml:space="preserve">Nº de cadeias</x:t>
        </x:is>
      </x:c>
      <x:c r="N1" t="inlineStr">
        <x:is>
          <x:t xml:space="preserve">Multiplicador</x:t>
        </x:is>
      </x:c>
      <x:c r="O1" t="inlineStr">
        <x:is>
          <x:t xml:space="preserve"/>
        </x:is>
      </x:c>
      <x:c r="P1" t="inlineStr">
        <x:is>
          <x:t xml:space="preserve">Abrangência</x:t>
        </x:is>
      </x:c>
      <x:c r="Q1" t="inlineStr">
        <x:is>
          <x:t xml:space="preserve">Multiplicador</x:t>
        </x:is>
      </x:c>
      <x:c r="R1" t="inlineStr">
        <x:is>
          <x:t xml:space="preserve"/>
        </x:is>
      </x:c>
      <x:c r="S1" t="inlineStr">
        <x:is>
          <x:t xml:space="preserve">Urgência</x:t>
        </x:is>
      </x:c>
      <x:c r="T1" t="inlineStr">
        <x:is>
          <x:t xml:space="preserve">Multiplicador</x:t>
        </x:is>
      </x:c>
      <x:c r="U1" t="inlineStr">
        <x:is>
          <x:t xml:space="preserve"/>
        </x:is>
      </x:c>
      <x:c r="V1" t="inlineStr">
        <x:is>
          <x:t xml:space="preserve">Fiscalização / notificação ativa</x:t>
        </x:is>
      </x:c>
      <x:c r="W1" t="inlineStr">
        <x:is>
          <x:t xml:space="preserve">Multiplicador</x:t>
        </x:is>
      </x:c>
      <x:c r="X1" t="inlineStr">
        <x:is>
          <x:t xml:space="preserve"/>
        </x:is>
      </x:c>
      <x:c r="Y1" t="inlineStr">
        <x:is>
          <x:t xml:space="preserve">Score mínimo</x:t>
        </x:is>
      </x:c>
      <x:c r="Z1" t="inlineStr">
        <x:is>
          <x:t xml:space="preserve">Complexidade</x:t>
        </x:is>
      </x:c>
      <x:c r="AA1" t="inlineStr">
        <x:is>
          <x:t xml:space="preserve">Mult. score</x:t>
        </x:is>
      </x:c>
      <x:c r="AB1" t="inlineStr">
        <x:is>
          <x:t xml:space="preserve"/>
        </x:is>
      </x:c>
      <x:c r="AC1" t="inlineStr">
        <x:is>
          <x:t xml:space="preserve">Pacote</x:t>
        </x:is>
      </x:c>
      <x:c r="AD1" t="inlineStr">
        <x:is>
          <x:t xml:space="preserve">Preço base</x:t>
        </x:is>
      </x:c>
    </x:row>
    <x:row r="2">
      <x:c r="A2" t="inlineStr">
        <x:is>
          <x:t xml:space="preserve">Comerciante</x:t>
        </x:is>
      </x:c>
      <x:c r="B2" t="n">
        <x:v>2</x:v>
      </x:c>
      <x:c r="C2" t="inlineStr">
        <x:is>
          <x:t xml:space="preserve"/>
        </x:is>
      </x:c>
      <x:c r="D2" t="inlineStr">
        <x:is>
          <x:t xml:space="preserve">Embalagens em geral</x:t>
        </x:is>
      </x:c>
      <x:c r="E2" t="n">
        <x:v>2</x:v>
      </x:c>
      <x:c r="F2" t="inlineStr">
        <x:is>
          <x:t xml:space="preserve"/>
        </x:is>
      </x:c>
      <x:c r="G2" t="inlineStr">
        <x:is>
          <x:t xml:space="preserve">Alta</x:t>
        </x:is>
      </x:c>
      <x:c r="H2" t="n">
        <x:v>1</x:v>
      </x:c>
      <x:c r="I2" t="inlineStr">
        <x:is>
          <x:t xml:space="preserve"/>
        </x:is>
      </x:c>
      <x:c r="J2" t="inlineStr">
        <x:is>
          <x:t xml:space="preserve">Declaratória simples</x:t>
        </x:is>
      </x:c>
      <x:c r="K2" t="n">
        <x:v>1</x:v>
      </x:c>
      <x:c r="L2" t="inlineStr">
        <x:is>
          <x:t xml:space="preserve"/>
        </x:is>
      </x:c>
      <x:c r="M2" t="inlineStr">
        <x:is>
          <x:t xml:space="preserve">1</x:t>
        </x:is>
      </x:c>
      <x:c r="N2" t="n">
        <x:v>1</x:v>
      </x:c>
      <x:c r="O2" t="inlineStr">
        <x:is>
          <x:t xml:space="preserve"/>
        </x:is>
      </x:c>
      <x:c r="P2" t="inlineStr">
        <x:is>
          <x:t xml:space="preserve">1 CNPJ / 1 unidade</x:t>
        </x:is>
      </x:c>
      <x:c r="Q2" t="n">
        <x:v>1</x:v>
      </x:c>
      <x:c r="R2" t="inlineStr">
        <x:is>
          <x:t xml:space="preserve"/>
        </x:is>
      </x:c>
      <x:c r="S2" t="inlineStr">
        <x:is>
          <x:t xml:space="preserve">Normal</x:t>
        </x:is>
      </x:c>
      <x:c r="T2" t="n">
        <x:v>1</x:v>
      </x:c>
      <x:c r="U2" t="inlineStr">
        <x:is>
          <x:t xml:space="preserve"/>
        </x:is>
      </x:c>
      <x:c r="V2" t="inlineStr">
        <x:is>
          <x:t xml:space="preserve">Não</x:t>
        </x:is>
      </x:c>
      <x:c r="W2" t="n">
        <x:v>1</x:v>
      </x:c>
      <x:c r="X2" t="inlineStr">
        <x:is>
          <x:t xml:space="preserve"/>
        </x:is>
      </x:c>
      <x:c r="Y2" t="n">
        <x:v>0</x:v>
      </x:c>
      <x:c r="Z2" t="inlineStr">
        <x:is>
          <x:t xml:space="preserve">Baixa</x:t>
        </x:is>
      </x:c>
      <x:c r="AA2" t="n">
        <x:v>0.85</x:v>
      </x:c>
      <x:c r="AB2" t="inlineStr">
        <x:is>
          <x:t xml:space="preserve"/>
        </x:is>
      </x:c>
      <x:c r="AC2" t="inlineStr">
        <x:is>
          <x:t xml:space="preserve">Diagnóstico</x:t>
        </x:is>
      </x:c>
      <x:c r="AD2">
        <x:f>'06_Premissas'!C6</x:f>
        <x:v>1500</x:v>
      </x:c>
    </x:row>
    <x:row r="3">
      <x:c r="A3" t="inlineStr">
        <x:is>
          <x:t xml:space="preserve">Distribuidor</x:t>
        </x:is>
      </x:c>
      <x:c r="B3" t="n">
        <x:v>3</x:v>
      </x:c>
      <x:c r="C3" t="inlineStr">
        <x:is>
          <x:t xml:space="preserve"/>
        </x:is>
      </x:c>
      <x:c r="D3" t="inlineStr">
        <x:is>
          <x:t xml:space="preserve">Cadeia específica art. 33</x:t>
        </x:is>
      </x:c>
      <x:c r="E3" t="n">
        <x:v>4</x:v>
      </x:c>
      <x:c r="F3" t="inlineStr">
        <x:is>
          <x:t xml:space="preserve"/>
        </x:is>
      </x:c>
      <x:c r="G3" t="inlineStr">
        <x:is>
          <x:t xml:space="preserve">Média</x:t>
        </x:is>
      </x:c>
      <x:c r="H3" t="n">
        <x:v>2</x:v>
      </x:c>
      <x:c r="I3" t="inlineStr">
        <x:is>
          <x:t xml:space="preserve"/>
        </x:is>
      </x:c>
      <x:c r="J3" t="inlineStr">
        <x:is>
          <x:t xml:space="preserve">Documental consolidada</x:t>
        </x:is>
      </x:c>
      <x:c r="K3" t="n">
        <x:v>2</x:v>
      </x:c>
      <x:c r="L3" t="inlineStr">
        <x:is>
          <x:t xml:space="preserve"/>
        </x:is>
      </x:c>
      <x:c r="M3" t="inlineStr">
        <x:is>
          <x:t xml:space="preserve">2</x:t>
        </x:is>
      </x:c>
      <x:c r="N3" t="n">
        <x:v>1.15</x:v>
      </x:c>
      <x:c r="O3" t="inlineStr">
        <x:is>
          <x:t xml:space="preserve"/>
        </x:is>
      </x:c>
      <x:c r="P3" t="inlineStr">
        <x:is>
          <x:t xml:space="preserve">2-3 unidades ou CNPJs</x:t>
        </x:is>
      </x:c>
      <x:c r="Q3" t="n">
        <x:v>1.1</x:v>
      </x:c>
      <x:c r="R3" t="inlineStr">
        <x:is>
          <x:t xml:space="preserve"/>
        </x:is>
      </x:c>
      <x:c r="S3" t="inlineStr">
        <x:is>
          <x:t xml:space="preserve">Até 15 dias</x:t>
        </x:is>
      </x:c>
      <x:c r="T3" t="n">
        <x:v>1.1</x:v>
      </x:c>
      <x:c r="U3" t="inlineStr">
        <x:is>
          <x:t xml:space="preserve"/>
        </x:is>
      </x:c>
      <x:c r="V3" t="inlineStr">
        <x:is>
          <x:t xml:space="preserve">Sim</x:t>
        </x:is>
      </x:c>
      <x:c r="W3" t="n">
        <x:v>1.15</x:v>
      </x:c>
      <x:c r="X3" t="inlineStr">
        <x:is>
          <x:t xml:space="preserve"/>
        </x:is>
      </x:c>
      <x:c r="Y3" t="n">
        <x:v>8</x:v>
      </x:c>
      <x:c r="Z3" t="inlineStr">
        <x:is>
          <x:t xml:space="preserve">Moderada</x:t>
        </x:is>
      </x:c>
      <x:c r="AA3" t="n">
        <x:v>1</x:v>
      </x:c>
      <x:c r="AB3" t="inlineStr">
        <x:is>
          <x:t xml:space="preserve"/>
        </x:is>
      </x:c>
      <x:c r="AC3" t="inlineStr">
        <x:is>
          <x:t xml:space="preserve">Regularização</x:t>
        </x:is>
      </x:c>
      <x:c r="AD3">
        <x:f>'06_Premissas'!C7</x:f>
        <x:v>3200</x:v>
      </x:c>
    </x:row>
    <x:row r="4">
      <x:c r="A4" t="inlineStr">
        <x:is>
          <x:t xml:space="preserve">Importador</x:t>
        </x:is>
      </x:c>
      <x:c r="B4" t="n">
        <x:v>4</x:v>
      </x:c>
      <x:c r="C4" t="inlineStr">
        <x:is>
          <x:t xml:space="preserve"/>
        </x:is>
      </x:c>
      <x:c r="D4" t="inlineStr">
        <x:is>
          <x:t xml:space="preserve">Multicadeia</x:t>
        </x:is>
      </x:c>
      <x:c r="E4" t="n">
        <x:v>5</x:v>
      </x:c>
      <x:c r="F4" t="inlineStr">
        <x:is>
          <x:t xml:space="preserve"/>
        </x:is>
      </x:c>
      <x:c r="G4" t="inlineStr">
        <x:is>
          <x:t xml:space="preserve">Baixa</x:t>
        </x:is>
      </x:c>
      <x:c r="H4" t="n">
        <x:v>3</x:v>
      </x:c>
      <x:c r="I4" t="inlineStr">
        <x:is>
          <x:t xml:space="preserve"/>
        </x:is>
      </x:c>
      <x:c r="J4" t="inlineStr">
        <x:is>
          <x:t xml:space="preserve">Rastreabilidade</x:t>
        </x:is>
      </x:c>
      <x:c r="K4" t="n">
        <x:v>3</x:v>
      </x:c>
      <x:c r="L4" t="inlineStr">
        <x:is>
          <x:t xml:space="preserve"/>
        </x:is>
      </x:c>
      <x:c r="M4" t="inlineStr">
        <x:is>
          <x:t xml:space="preserve">3</x:t>
        </x:is>
      </x:c>
      <x:c r="N4" t="n">
        <x:v>1.3</x:v>
      </x:c>
      <x:c r="O4" t="inlineStr">
        <x:is>
          <x:t xml:space="preserve"/>
        </x:is>
      </x:c>
      <x:c r="P4" t="inlineStr">
        <x:is>
          <x:t xml:space="preserve">4-10 unidades ou CNPJs</x:t>
        </x:is>
      </x:c>
      <x:c r="Q4" t="n">
        <x:v>1.25</x:v>
      </x:c>
      <x:c r="R4" t="inlineStr">
        <x:is>
          <x:t xml:space="preserve"/>
        </x:is>
      </x:c>
      <x:c r="S4" t="inlineStr">
        <x:is>
          <x:t xml:space="preserve">Até 7 dias</x:t>
        </x:is>
      </x:c>
      <x:c r="T4" t="n">
        <x:v>1.2</x:v>
      </x:c>
      <x:c r="U4" t="inlineStr">
        <x:is>
          <x:t xml:space="preserve"/>
        </x:is>
      </x:c>
      <x:c r="V4" t="inlineStr">
        <x:is>
          <x:t xml:space="preserve"/>
        </x:is>
      </x:c>
      <x:c r="W4" t="inlineStr">
        <x:is>
          <x:t xml:space="preserve"/>
        </x:is>
      </x:c>
      <x:c r="X4" t="inlineStr">
        <x:is>
          <x:t xml:space="preserve"/>
        </x:is>
      </x:c>
      <x:c r="Y4" t="n">
        <x:v>11</x:v>
      </x:c>
      <x:c r="Z4" t="inlineStr">
        <x:is>
          <x:t xml:space="preserve">Alta</x:t>
        </x:is>
      </x:c>
      <x:c r="AA4" t="n">
        <x:v>1.2</x:v>
      </x:c>
      <x:c r="AB4" t="inlineStr">
        <x:is>
          <x:t xml:space="preserve"/>
        </x:is>
      </x:c>
      <x:c r="AC4" t="inlineStr">
        <x:is>
          <x:t xml:space="preserve">Avançado</x:t>
        </x:is>
      </x:c>
      <x:c r="AD4">
        <x:f>'06_Premissas'!C8</x:f>
        <x:v>5400</x:v>
      </x:c>
    </x:row>
    <x:row r="5">
      <x:c r="A5" t="inlineStr">
        <x:is>
          <x:t xml:space="preserve">Fabricante / Marca própria</x:t>
        </x:is>
      </x:c>
      <x:c r="B5" t="n">
        <x:v>5</x:v>
      </x:c>
      <x:c r="C5" t="inlineStr">
        <x:is>
          <x:t xml:space="preserve"/>
        </x:is>
      </x:c>
      <x:c r="D5" t="inlineStr">
        <x:is>
          <x:t xml:space="preserve"/>
        </x:is>
      </x:c>
      <x:c r="E5" t="inlineStr">
        <x:is>
          <x:t xml:space="preserve"/>
        </x:is>
      </x:c>
      <x:c r="F5" t="inlineStr">
        <x:is>
          <x:t xml:space="preserve"/>
        </x:is>
      </x:c>
      <x:c r="G5" t="inlineStr">
        <x:is>
          <x:t xml:space="preserve">Crítica</x:t>
        </x:is>
      </x:c>
      <x:c r="H5" t="n">
        <x:v>4</x:v>
      </x:c>
      <x:c r="I5" t="inlineStr">
        <x:is>
          <x:t xml:space="preserve"/>
        </x:is>
      </x:c>
      <x:c r="J5" t="inlineStr">
        <x:is>
          <x:t xml:space="preserve">Auditável / verificador</x:t>
        </x:is>
      </x:c>
      <x:c r="K5" t="n">
        <x:v>4</x:v>
      </x:c>
      <x:c r="L5" t="inlineStr">
        <x:is>
          <x:t xml:space="preserve"/>
        </x:is>
      </x:c>
      <x:c r="M5" t="inlineStr">
        <x:is>
          <x:t xml:space="preserve">4+</x:t>
        </x:is>
      </x:c>
      <x:c r="N5" t="n">
        <x:v>1.45</x:v>
      </x:c>
      <x:c r="O5" t="inlineStr">
        <x:is>
          <x:t xml:space="preserve"/>
        </x:is>
      </x:c>
      <x:c r="P5" t="inlineStr">
        <x:is>
          <x:t xml:space="preserve">11+ unidades ou CNPJs</x:t>
        </x:is>
      </x:c>
      <x:c r="Q5" t="n">
        <x:v>1.4</x:v>
      </x:c>
      <x:c r="R5" t="inlineStr">
        <x:is>
          <x:t xml:space="preserve"/>
        </x:is>
      </x:c>
      <x:c r="S5" t="inlineStr">
        <x:is>
          <x:t xml:space="preserve">Imediato</x:t>
        </x:is>
      </x:c>
      <x:c r="T5" t="n">
        <x:v>1.3</x:v>
      </x:c>
      <x:c r="U5" t="inlineStr">
        <x:is>
          <x:t xml:space="preserve"/>
        </x:is>
      </x:c>
      <x:c r="V5" t="inlineStr">
        <x:is>
          <x:t xml:space="preserve"/>
        </x:is>
      </x:c>
      <x:c r="W5" t="inlineStr">
        <x:is>
          <x:t xml:space="preserve"/>
        </x:is>
      </x:c>
      <x:c r="X5" t="inlineStr">
        <x:is>
          <x:t xml:space="preserve"/>
        </x:is>
      </x:c>
      <x:c r="Y5" t="n">
        <x:v>14</x:v>
      </x:c>
      <x:c r="Z5" t="inlineStr">
        <x:is>
          <x:t xml:space="preserve">Muito alta</x:t>
        </x:is>
      </x:c>
      <x:c r="AA5" t="n">
        <x:v>1.4</x:v>
      </x:c>
      <x:c r="AB5" t="inlineStr">
        <x:is>
          <x:t xml:space="preserve"/>
        </x:is>
      </x:c>
      <x:c r="AC5" t="inlineStr">
        <x:is>
          <x:t xml:space="preserve">Gestão mensal</x:t>
        </x:is>
      </x:c>
      <x:c r="AD5">
        <x:f>'06_Premissas'!C9</x:f>
        <x:v>950</x:v>
      </x:c>
    </x:row>
    <x:row r="6">
      <x:c r="A6" t="inlineStr">
        <x:is>
          <x:t xml:space="preserve">Misto / mais de um papel</x:t>
        </x:is>
      </x:c>
      <x:c r="B6" t="n">
        <x:v>5</x:v>
      </x:c>
      <x:c r="C6" t="inlineStr">
        <x:is>
          <x:t xml:space="preserve"/>
        </x:is>
      </x:c>
      <x:c r="D6" t="inlineStr">
        <x:is>
          <x:t xml:space="preserve"/>
        </x:is>
      </x:c>
      <x:c r="E6" t="inlineStr">
        <x:is>
          <x:t xml:space="preserve"/>
        </x:is>
      </x:c>
      <x:c r="F6" t="inlineStr">
        <x:is>
          <x:t xml:space="preserve"/>
        </x:is>
      </x:c>
      <x:c r="G6" t="inlineStr">
        <x:is>
          <x:t xml:space="preserve"/>
        </x:is>
      </x:c>
      <x:c r="H6" t="inlineStr">
        <x:is>
          <x:t xml:space="preserve"/>
        </x:is>
      </x:c>
      <x:c r="I6" t="inlineStr">
        <x:is>
          <x:t xml:space="preserve"/>
        </x:is>
      </x:c>
      <x:c r="J6" t="inlineStr">
        <x:is>
          <x:t xml:space="preserve"/>
        </x:is>
      </x:c>
      <x:c r="K6" t="inlineStr">
        <x:is>
          <x:t xml:space="preserve"/>
        </x:is>
      </x:c>
      <x:c r="L6" t="inlineStr">
        <x:is>
          <x:t xml:space="preserve"/>
        </x:is>
      </x:c>
      <x:c r="M6" t="inlineStr">
        <x:is>
          <x:t xml:space="preserve"/>
        </x:is>
      </x:c>
      <x:c r="N6" t="inlineStr">
        <x:is>
          <x:t xml:space="preserve"/>
        </x:is>
      </x:c>
      <x:c r="O6" t="inlineStr">
        <x:is>
          <x:t xml:space="preserve"/>
        </x:is>
      </x:c>
      <x:c r="P6" t="inlineStr">
        <x:is>
          <x:t xml:space="preserve"/>
        </x:is>
      </x:c>
      <x:c r="Q6" t="inlineStr">
        <x:is>
          <x:t xml:space="preserve"/>
        </x:is>
      </x:c>
      <x:c r="R6" t="inlineStr">
        <x:is>
          <x:t xml:space="preserve"/>
        </x:is>
      </x:c>
      <x:c r="S6" t="inlineStr">
        <x:is>
          <x:t xml:space="preserve"/>
        </x:is>
      </x:c>
      <x:c r="T6" t="inlineStr">
        <x:is>
          <x:t xml:space="preserve"/>
        </x:is>
      </x:c>
      <x:c r="U6" t="inlineStr">
        <x:is>
          <x:t xml:space="preserve"/>
        </x:is>
      </x:c>
      <x:c r="V6" t="inlineStr">
        <x:is>
          <x:t xml:space="preserve"/>
        </x:is>
      </x:c>
      <x:c r="W6" t="inlineStr">
        <x:is>
          <x:t xml:space="preserve"/>
        </x:is>
      </x:c>
      <x:c r="X6" t="inlineStr">
        <x:is>
          <x:t xml:space="preserve"/>
        </x:is>
      </x:c>
      <x:c r="Y6" t="n">
        <x:v>17</x:v>
      </x:c>
      <x:c r="Z6" t="inlineStr">
        <x:is>
          <x:t xml:space="preserve">Crítica</x:t>
        </x:is>
      </x:c>
      <x:c r="AA6" t="n">
        <x:v>1.6</x:v>
      </x:c>
      <x:c r="AB6" t="inlineStr">
        <x:is>
          <x:t xml:space="preserve"/>
        </x:is>
      </x:c>
      <x:c r="AC6" t="inlineStr">
        <x:is>
          <x:t xml:space="preserve"/>
        </x:is>
      </x:c>
    </x:row>
  </x:sheetData>
  <x:pageMargins left="0.7" right="0.7" top="0.75" bottom="0.75" header="0.3" footer="0.3"/>
</x:worksheet>
</file>